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etary Needs" sheetId="1" r:id="rId4"/>
    <sheet state="visible" name="Ingredient Level" sheetId="2" r:id="rId5"/>
    <sheet state="visible" name="Nutritional Intake" sheetId="3" r:id="rId6"/>
    <sheet state="visible" name="Broiler Starter" sheetId="4" r:id="rId7"/>
    <sheet state="visible" name="Broiler Finisher" sheetId="5" r:id="rId8"/>
  </sheets>
  <definedNames/>
  <calcPr/>
</workbook>
</file>

<file path=xl/sharedStrings.xml><?xml version="1.0" encoding="utf-8"?>
<sst xmlns="http://schemas.openxmlformats.org/spreadsheetml/2006/main" count="340" uniqueCount="159">
  <si>
    <t>Dietary Needs Depending on the Species and the Physiological Stage</t>
  </si>
  <si>
    <t>Nutrients</t>
  </si>
  <si>
    <t>Proteins</t>
  </si>
  <si>
    <t>Lipids</t>
  </si>
  <si>
    <t>Cellulose</t>
  </si>
  <si>
    <t>Calcium</t>
  </si>
  <si>
    <t>Phosphorous</t>
  </si>
  <si>
    <t>Lysine</t>
  </si>
  <si>
    <t>Méthionine</t>
  </si>
  <si>
    <t>Energie (Kcal)</t>
  </si>
  <si>
    <t>Category</t>
  </si>
  <si>
    <t>Day-old Chicks</t>
  </si>
  <si>
    <t>19-20</t>
  </si>
  <si>
    <t>2 600-2 700</t>
  </si>
  <si>
    <t>Pullets</t>
  </si>
  <si>
    <t>14-15</t>
  </si>
  <si>
    <t>Layers</t>
  </si>
  <si>
    <t>16,5-17</t>
  </si>
  <si>
    <t>Broiler Starter</t>
  </si>
  <si>
    <t>21-23</t>
  </si>
  <si>
    <t>2 800-3 000</t>
  </si>
  <si>
    <t>Broiler Finisher</t>
  </si>
  <si>
    <t>18-20</t>
  </si>
  <si>
    <t>2 700-2 800</t>
  </si>
  <si>
    <t>Layers Reproduction</t>
  </si>
  <si>
    <t>Broiler Reproduction</t>
  </si>
  <si>
    <t>16-18</t>
  </si>
  <si>
    <t>2 600-2 800</t>
  </si>
  <si>
    <t>Turkeys Starter</t>
  </si>
  <si>
    <t>28-30</t>
  </si>
  <si>
    <t>Turkeys Growers</t>
  </si>
  <si>
    <t>Turkeys Finisher</t>
  </si>
  <si>
    <t>Turkeys Reprod</t>
  </si>
  <si>
    <t>13-16</t>
  </si>
  <si>
    <t>2 500-2 800</t>
  </si>
  <si>
    <t>Cockerels Finisher</t>
  </si>
  <si>
    <t>Guinea Fowl Starter</t>
  </si>
  <si>
    <t>Guinea Fowl Grower</t>
  </si>
  <si>
    <t>17-20</t>
  </si>
  <si>
    <t>Guinea Fowl Finisher</t>
  </si>
  <si>
    <t>13,5-15</t>
  </si>
  <si>
    <t>Guinea Fowl Reprod</t>
  </si>
  <si>
    <t>Ducklings Starter</t>
  </si>
  <si>
    <t>Ducklings Growers</t>
  </si>
  <si>
    <t>13-14</t>
  </si>
  <si>
    <t>Ducks finisher</t>
  </si>
  <si>
    <t>Ducks Reprod</t>
  </si>
  <si>
    <t>Geese Starter</t>
  </si>
  <si>
    <t>Geese Grower</t>
  </si>
  <si>
    <t>Geese Reproduction</t>
  </si>
  <si>
    <t>Quail Starter</t>
  </si>
  <si>
    <t>Quail Finisher</t>
  </si>
  <si>
    <t>Quail Reprod</t>
  </si>
  <si>
    <t>Pigglets weaned</t>
  </si>
  <si>
    <t>Pigglets Growers</t>
  </si>
  <si>
    <t>Sows and Boars</t>
  </si>
  <si>
    <t>Mixed Rabbits</t>
  </si>
  <si>
    <t>Fish External</t>
  </si>
  <si>
    <t>Pond/Tanks Fish</t>
  </si>
  <si>
    <t>Feed Ingredients Level</t>
  </si>
  <si>
    <t>Day old Chicks/ Starter</t>
  </si>
  <si>
    <t>Pullets / Growers</t>
  </si>
  <si>
    <t>Breeders</t>
  </si>
  <si>
    <t>Maize</t>
  </si>
  <si>
    <t>10 to 60</t>
  </si>
  <si>
    <t>30 to 48</t>
  </si>
  <si>
    <t>30 to 50</t>
  </si>
  <si>
    <t>20 to 50</t>
  </si>
  <si>
    <t>Sorghum</t>
  </si>
  <si>
    <t>0 to 40</t>
  </si>
  <si>
    <t>0 to 25</t>
  </si>
  <si>
    <t>0 to 50</t>
  </si>
  <si>
    <t>Wheat bran</t>
  </si>
  <si>
    <t>0 to 10</t>
  </si>
  <si>
    <t>0 to 30</t>
  </si>
  <si>
    <t>0 to 20</t>
  </si>
  <si>
    <t>Maize bran</t>
  </si>
  <si>
    <t>10 to 30</t>
  </si>
  <si>
    <t>10 to 40</t>
  </si>
  <si>
    <t>Sorghum bran</t>
  </si>
  <si>
    <t>Low rice flour</t>
  </si>
  <si>
    <t>Wheat flour</t>
  </si>
  <si>
    <t>Maize germ</t>
  </si>
  <si>
    <t>Brewers Spent Grain</t>
  </si>
  <si>
    <t>0 to 5</t>
  </si>
  <si>
    <t>2 to 5</t>
  </si>
  <si>
    <t>Cassava</t>
  </si>
  <si>
    <t>0 to 15</t>
  </si>
  <si>
    <t>Soybean meal</t>
  </si>
  <si>
    <t>Cotton seed meal</t>
  </si>
  <si>
    <t>Groundnut cake</t>
  </si>
  <si>
    <t>Palm Kernel cake</t>
  </si>
  <si>
    <t>Sunflower meal</t>
  </si>
  <si>
    <t>Soya flour</t>
  </si>
  <si>
    <t>Fishmeal</t>
  </si>
  <si>
    <t>5 to 10</t>
  </si>
  <si>
    <t>Blood meal</t>
  </si>
  <si>
    <t>0 to 4</t>
  </si>
  <si>
    <t>Yeast</t>
  </si>
  <si>
    <t>Oyster shell</t>
  </si>
  <si>
    <t>Bone powder</t>
  </si>
  <si>
    <t>Salt</t>
  </si>
  <si>
    <t>0 to 0,5</t>
  </si>
  <si>
    <t>Iron Sulphate</t>
  </si>
  <si>
    <t>Broiler Concentrate</t>
  </si>
  <si>
    <t>Pullet Concentrate</t>
  </si>
  <si>
    <t>Phosphate bicalcique</t>
  </si>
  <si>
    <t>Premix Layers</t>
  </si>
  <si>
    <t>Premix pigglets</t>
  </si>
  <si>
    <t>Specifications and Nutritional Intake of the Main Raw Materials</t>
  </si>
  <si>
    <t>Name of Raw Materials</t>
  </si>
  <si>
    <t>Energy</t>
  </si>
  <si>
    <t>Protein</t>
  </si>
  <si>
    <t>Dry Matter</t>
  </si>
  <si>
    <t>Phosphore</t>
  </si>
  <si>
    <t>Unit Price</t>
  </si>
  <si>
    <t>Kcal / kg</t>
  </si>
  <si>
    <t>%</t>
  </si>
  <si>
    <t>N / kg</t>
  </si>
  <si>
    <t>Maize chaff</t>
  </si>
  <si>
    <t>Non defatted soybean meal</t>
  </si>
  <si>
    <t>Defatted Soybean meal</t>
  </si>
  <si>
    <t>Cotton Seed meal</t>
  </si>
  <si>
    <t>Palmkernel Cake</t>
  </si>
  <si>
    <t>Soy flour</t>
  </si>
  <si>
    <t>Bloodmeal</t>
  </si>
  <si>
    <t>Oyster Shell</t>
  </si>
  <si>
    <t>Broiler Concentrate 5%</t>
  </si>
  <si>
    <t>DCP</t>
  </si>
  <si>
    <t>Premix pullets</t>
  </si>
  <si>
    <t>Pork Concentrate</t>
  </si>
  <si>
    <t>Premix broiler starter</t>
  </si>
  <si>
    <t>Premix growers</t>
  </si>
  <si>
    <t>FEED FORMULATION CALCULATOR</t>
  </si>
  <si>
    <t>Rate Incor.</t>
  </si>
  <si>
    <t>ME</t>
  </si>
  <si>
    <t>CP</t>
  </si>
  <si>
    <t>Dry matter</t>
  </si>
  <si>
    <t>Phosph.</t>
  </si>
  <si>
    <t>Ingredients</t>
  </si>
  <si>
    <t>F / kg</t>
  </si>
  <si>
    <t>low rice flour</t>
  </si>
  <si>
    <t>Corn germ</t>
  </si>
  <si>
    <t>Brewers Spent Grains</t>
  </si>
  <si>
    <t>Full-fat Soya</t>
  </si>
  <si>
    <t>Cottonseed meal</t>
  </si>
  <si>
    <t>Groundnut Cake</t>
  </si>
  <si>
    <t>Palm kernel cake</t>
  </si>
  <si>
    <t>Limestone</t>
  </si>
  <si>
    <t>Iron sulphate</t>
  </si>
  <si>
    <t>Broilers Concentrate 5%</t>
  </si>
  <si>
    <t>Layers Concentrate</t>
  </si>
  <si>
    <t>Calcium hydrogen phosphate</t>
  </si>
  <si>
    <t>Layer premix</t>
  </si>
  <si>
    <t>Premix piglet</t>
  </si>
  <si>
    <t>Vita C</t>
  </si>
  <si>
    <t>ENZYME</t>
  </si>
  <si>
    <t>Toxinbinder</t>
  </si>
  <si>
    <t>Egg booster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</si>
</sst>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[$€]* #,##0.00_);_([$€]* \(#,##0.00\);_([$€]* \-??_);_(@_)"/>
  </numFmts>
  <fonts count="15">
    <font>
      <sz val="11.0"/>
      <color theme="1"/>
      <name val="Calibri"/>
      <scheme val="minor"/>
    </font>
    <font>
      <b/>
      <i/>
      <u/>
      <sz val="14.0"/>
      <color theme="1"/>
      <name val="Times New Roman"/>
    </font>
    <font>
      <b/>
      <sz val="8.0"/>
      <color theme="1"/>
      <name val="Tahoma"/>
    </font>
    <font/>
    <font>
      <sz val="8.0"/>
      <color theme="1"/>
      <name val="Tahoma"/>
    </font>
    <font>
      <b/>
      <sz val="11.0"/>
      <color theme="1"/>
      <name val="Calibri"/>
    </font>
    <font>
      <b/>
      <i/>
      <u/>
      <sz val="11.0"/>
      <color rgb="FF333399"/>
      <name val="Times New Roman"/>
    </font>
    <font>
      <sz val="10.0"/>
      <color theme="1"/>
      <name val="Arial"/>
    </font>
    <font>
      <color theme="1"/>
      <name val="Calibri"/>
      <scheme val="minor"/>
    </font>
    <font>
      <b/>
      <sz val="8.0"/>
      <color rgb="FF000080"/>
      <name val="Tahoma"/>
    </font>
    <font>
      <sz val="10.0"/>
      <color theme="1"/>
      <name val="Verdana"/>
    </font>
    <font>
      <b/>
      <sz val="7.0"/>
      <color rgb="FFFFFFFF"/>
      <name val="Tahoma"/>
    </font>
    <font>
      <b/>
      <sz val="7.0"/>
      <color theme="1"/>
      <name val="Tahoma"/>
    </font>
    <font>
      <sz val="7.0"/>
      <color theme="1"/>
      <name val="Tahoma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666699"/>
        <bgColor rgb="FF666699"/>
      </patternFill>
    </fill>
    <fill>
      <patternFill patternType="solid">
        <fgColor rgb="FFFDE9D9"/>
        <bgColor rgb="FFFDE9D9"/>
      </patternFill>
    </fill>
  </fills>
  <borders count="11">
    <border/>
    <border>
      <left style="medium">
        <color rgb="FF333333"/>
      </left>
      <right style="medium">
        <color rgb="FF333333"/>
      </right>
      <top style="medium">
        <color rgb="FF333333"/>
      </top>
    </border>
    <border>
      <left style="medium">
        <color rgb="FF333333"/>
      </left>
      <right style="medium">
        <color rgb="FF333333"/>
      </right>
      <bottom style="thin">
        <color rgb="FF333333"/>
      </bottom>
    </border>
    <border>
      <left style="medium">
        <color rgb="FF333333"/>
      </left>
      <right style="medium">
        <color rgb="FF333333"/>
      </right>
      <top style="thin">
        <color rgb="FF333333"/>
      </top>
      <bottom style="thin">
        <color rgb="FF333333"/>
      </bottom>
    </border>
    <border>
      <left style="medium">
        <color rgb="FF333333"/>
      </left>
      <right style="medium">
        <color rgb="FF333333"/>
      </right>
      <top style="thin">
        <color rgb="FF333333"/>
      </top>
      <bottom style="medium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bottom style="thin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</border>
    <border>
      <left style="thin">
        <color rgb="FF333333"/>
      </left>
      <right style="thin">
        <color rgb="FF333333"/>
      </right>
      <bottom style="thin">
        <color rgb="FF333333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1" fillId="0" fontId="2" numFmtId="4" xfId="0" applyAlignment="1" applyBorder="1" applyFont="1" applyNumberFormat="1">
      <alignment horizontal="center" shrinkToFit="0" vertical="center" wrapText="1"/>
    </xf>
    <xf borderId="1" fillId="0" fontId="2" numFmtId="3" xfId="0" applyAlignment="1" applyBorder="1" applyFont="1" applyNumberFormat="1">
      <alignment horizontal="center" shrinkToFit="0" vertical="center" wrapText="1"/>
    </xf>
    <xf borderId="2" fillId="0" fontId="2" numFmtId="0" xfId="0" applyBorder="1" applyFont="1"/>
    <xf borderId="2" fillId="0" fontId="3" numFmtId="0" xfId="0" applyBorder="1" applyFont="1"/>
    <xf borderId="3" fillId="0" fontId="4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3" fillId="0" fontId="4" numFmtId="2" xfId="0" applyAlignment="1" applyBorder="1" applyFont="1" applyNumberFormat="1">
      <alignment vertical="center"/>
    </xf>
    <xf borderId="3" fillId="0" fontId="4" numFmtId="3" xfId="0" applyAlignment="1" applyBorder="1" applyFont="1" applyNumberFormat="1">
      <alignment horizontal="center" vertical="center"/>
    </xf>
    <xf borderId="3" fillId="0" fontId="4" numFmtId="14" xfId="0" applyAlignment="1" applyBorder="1" applyFont="1" applyNumberFormat="1">
      <alignment horizontal="center" vertical="center"/>
    </xf>
    <xf borderId="3" fillId="0" fontId="4" numFmtId="2" xfId="0" applyAlignment="1" applyBorder="1" applyFont="1" applyNumberFormat="1">
      <alignment horizontal="right" vertical="center"/>
    </xf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 vertical="center"/>
    </xf>
    <xf borderId="4" fillId="0" fontId="4" numFmtId="2" xfId="0" applyAlignment="1" applyBorder="1" applyFont="1" applyNumberFormat="1">
      <alignment vertical="center"/>
    </xf>
    <xf borderId="4" fillId="0" fontId="4" numFmtId="3" xfId="0" applyAlignment="1" applyBorder="1" applyFont="1" applyNumberFormat="1">
      <alignment horizontal="center" vertical="center"/>
    </xf>
    <xf borderId="0" fillId="0" fontId="5" numFmtId="0" xfId="0" applyFont="1"/>
    <xf borderId="5" fillId="0" fontId="4" numFmtId="0" xfId="0" applyAlignment="1" applyBorder="1" applyFont="1">
      <alignment vertical="center"/>
    </xf>
    <xf borderId="5" fillId="0" fontId="2" numFmtId="0" xfId="0" applyAlignment="1" applyBorder="1" applyFont="1">
      <alignment horizontal="center" shrinkToFit="0" vertical="center" wrapText="1"/>
    </xf>
    <xf borderId="5" fillId="0" fontId="4" numFmtId="4" xfId="0" applyAlignment="1" applyBorder="1" applyFont="1" applyNumberFormat="1">
      <alignment vertical="center"/>
    </xf>
    <xf borderId="5" fillId="0" fontId="4" numFmtId="4" xfId="0" applyAlignment="1" applyBorder="1" applyFont="1" applyNumberFormat="1">
      <alignment horizontal="center" shrinkToFit="0" vertical="center" wrapText="1"/>
    </xf>
    <xf borderId="6" fillId="0" fontId="6" numFmtId="4" xfId="0" applyAlignment="1" applyBorder="1" applyFont="1" applyNumberFormat="1">
      <alignment horizontal="center" vertical="center"/>
    </xf>
    <xf borderId="6" fillId="0" fontId="3" numFmtId="0" xfId="0" applyBorder="1" applyFont="1"/>
    <xf borderId="0" fillId="0" fontId="7" numFmtId="0" xfId="0" applyFont="1"/>
    <xf borderId="5" fillId="0" fontId="2" numFmtId="164" xfId="0" applyAlignment="1" applyBorder="1" applyFont="1" applyNumberFormat="1">
      <alignment horizontal="left" shrinkToFit="0" vertical="center" wrapText="1"/>
    </xf>
    <xf borderId="5" fillId="0" fontId="2" numFmtId="4" xfId="0" applyAlignment="1" applyBorder="1" applyFont="1" applyNumberFormat="1">
      <alignment horizontal="center" shrinkToFit="0" vertical="center" wrapText="1"/>
    </xf>
    <xf borderId="5" fillId="0" fontId="4" numFmtId="4" xfId="0" applyAlignment="1" applyBorder="1" applyFont="1" applyNumberFormat="1">
      <alignment horizontal="center" vertical="center"/>
    </xf>
    <xf borderId="5" fillId="0" fontId="4" numFmtId="4" xfId="0" applyAlignment="1" applyBorder="1" applyFont="1" applyNumberFormat="1">
      <alignment readingOrder="0" vertical="center"/>
    </xf>
    <xf borderId="7" fillId="0" fontId="4" numFmtId="4" xfId="0" applyAlignment="1" applyBorder="1" applyFont="1" applyNumberFormat="1">
      <alignment vertical="center"/>
    </xf>
    <xf borderId="8" fillId="0" fontId="4" numFmtId="4" xfId="0" applyAlignment="1" applyBorder="1" applyFont="1" applyNumberFormat="1">
      <alignment vertical="center"/>
    </xf>
    <xf borderId="0" fillId="0" fontId="8" numFmtId="0" xfId="0" applyFont="1"/>
    <xf borderId="5" fillId="0" fontId="2" numFmtId="4" xfId="0" applyAlignment="1" applyBorder="1" applyFont="1" applyNumberFormat="1">
      <alignment horizontal="left" shrinkToFit="0" vertical="center" wrapText="1"/>
    </xf>
    <xf borderId="5" fillId="0" fontId="9" numFmtId="4" xfId="0" applyAlignment="1" applyBorder="1" applyFont="1" applyNumberFormat="1">
      <alignment horizontal="center" shrinkToFit="0" vertical="center" wrapText="1"/>
    </xf>
    <xf borderId="0" fillId="0" fontId="2" numFmtId="4" xfId="0" applyAlignment="1" applyFont="1" applyNumberFormat="1">
      <alignment horizontal="center" shrinkToFit="0" vertical="center" wrapText="1"/>
    </xf>
    <xf borderId="0" fillId="0" fontId="4" numFmtId="14" xfId="0" applyAlignment="1" applyFont="1" applyNumberFormat="1">
      <alignment horizontal="center" vertical="center"/>
    </xf>
    <xf borderId="7" fillId="0" fontId="10" numFmtId="4" xfId="0" applyAlignment="1" applyBorder="1" applyFont="1" applyNumberFormat="1">
      <alignment horizontal="left" vertical="center"/>
    </xf>
    <xf borderId="0" fillId="0" fontId="4" numFmtId="4" xfId="0" applyAlignment="1" applyFont="1" applyNumberFormat="1">
      <alignment horizontal="center" vertical="center"/>
    </xf>
    <xf borderId="9" fillId="0" fontId="3" numFmtId="0" xfId="0" applyBorder="1" applyFont="1"/>
    <xf borderId="7" fillId="2" fontId="11" numFmtId="4" xfId="0" applyAlignment="1" applyBorder="1" applyFill="1" applyFont="1" applyNumberFormat="1">
      <alignment horizontal="right" vertical="center"/>
    </xf>
    <xf borderId="5" fillId="3" fontId="12" numFmtId="4" xfId="0" applyAlignment="1" applyBorder="1" applyFill="1" applyFont="1" applyNumberFormat="1">
      <alignment horizontal="right" vertical="center"/>
    </xf>
    <xf borderId="10" fillId="0" fontId="3" numFmtId="0" xfId="0" applyBorder="1" applyFont="1"/>
    <xf borderId="5" fillId="2" fontId="11" numFmtId="4" xfId="0" applyAlignment="1" applyBorder="1" applyFont="1" applyNumberFormat="1">
      <alignment horizontal="right" vertical="center"/>
    </xf>
    <xf borderId="5" fillId="0" fontId="13" numFmtId="4" xfId="0" applyAlignment="1" applyBorder="1" applyFont="1" applyNumberFormat="1">
      <alignment readingOrder="0" vertical="center"/>
    </xf>
    <xf borderId="5" fillId="0" fontId="13" numFmtId="4" xfId="0" applyAlignment="1" applyBorder="1" applyFont="1" applyNumberFormat="1">
      <alignment vertical="center"/>
    </xf>
    <xf borderId="0" fillId="0" fontId="4" numFmtId="4" xfId="0" applyAlignment="1" applyFont="1" applyNumberFormat="1">
      <alignment horizontal="right" vertical="center"/>
    </xf>
    <xf borderId="0" fillId="0" fontId="4" numFmtId="4" xfId="0" applyAlignment="1" applyFont="1" applyNumberFormat="1">
      <alignment vertical="center"/>
    </xf>
    <xf borderId="7" fillId="0" fontId="13" numFmtId="4" xfId="0" applyAlignment="1" applyBorder="1" applyFont="1" applyNumberFormat="1">
      <alignment vertical="center"/>
    </xf>
    <xf borderId="0" fillId="0" fontId="2" numFmtId="4" xfId="0" applyAlignment="1" applyFont="1" applyNumberFormat="1">
      <alignment vertical="center"/>
    </xf>
    <xf borderId="8" fillId="0" fontId="13" numFmtId="4" xfId="0" applyAlignment="1" applyBorder="1" applyFont="1" applyNumberFormat="1">
      <alignment vertical="center"/>
    </xf>
    <xf borderId="8" fillId="0" fontId="4" numFmtId="4" xfId="0" applyAlignment="1" applyBorder="1" applyFont="1" applyNumberFormat="1">
      <alignment readingOrder="0" vertical="center"/>
    </xf>
    <xf borderId="0" fillId="0" fontId="13" numFmtId="4" xfId="0" applyAlignment="1" applyFont="1" applyNumberFormat="1">
      <alignment vertical="center"/>
    </xf>
    <xf borderId="0" fillId="0" fontId="1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29"/>
    <col customWidth="1" min="3" max="3" width="11.14"/>
    <col customWidth="1" min="4" max="4" width="11.43"/>
    <col customWidth="1" min="5" max="9" width="8.71"/>
    <col customWidth="1" min="10" max="10" width="14.0"/>
    <col customWidth="1" min="11" max="26" width="8.71"/>
  </cols>
  <sheetData>
    <row r="4">
      <c r="B4" s="1" t="s">
        <v>0</v>
      </c>
    </row>
    <row r="6">
      <c r="B6" s="2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4" t="s">
        <v>9</v>
      </c>
    </row>
    <row r="7">
      <c r="B7" s="5" t="s">
        <v>10</v>
      </c>
      <c r="C7" s="6"/>
      <c r="D7" s="6"/>
      <c r="E7" s="6"/>
      <c r="F7" s="6"/>
      <c r="G7" s="6"/>
      <c r="H7" s="6"/>
      <c r="I7" s="6"/>
      <c r="J7" s="6"/>
    </row>
    <row r="8">
      <c r="B8" s="7" t="s">
        <v>11</v>
      </c>
      <c r="C8" s="8" t="s">
        <v>12</v>
      </c>
      <c r="D8" s="9">
        <v>3.5</v>
      </c>
      <c r="E8" s="9">
        <v>5.0</v>
      </c>
      <c r="F8" s="9">
        <v>1.0</v>
      </c>
      <c r="G8" s="9">
        <v>0.45</v>
      </c>
      <c r="H8" s="9">
        <v>0.85</v>
      </c>
      <c r="I8" s="9">
        <v>0.34</v>
      </c>
      <c r="J8" s="10" t="s">
        <v>13</v>
      </c>
    </row>
    <row r="9">
      <c r="B9" s="7" t="s">
        <v>14</v>
      </c>
      <c r="C9" s="8" t="s">
        <v>15</v>
      </c>
      <c r="D9" s="9">
        <v>3.5</v>
      </c>
      <c r="E9" s="9">
        <v>7.5</v>
      </c>
      <c r="F9" s="9">
        <v>0.9</v>
      </c>
      <c r="G9" s="9">
        <v>0.35</v>
      </c>
      <c r="H9" s="9">
        <v>0.62</v>
      </c>
      <c r="I9" s="9">
        <v>0.26</v>
      </c>
      <c r="J9" s="10">
        <v>2300.0</v>
      </c>
    </row>
    <row r="10">
      <c r="B10" s="7" t="s">
        <v>16</v>
      </c>
      <c r="C10" s="11" t="s">
        <v>17</v>
      </c>
      <c r="D10" s="9">
        <v>3.5</v>
      </c>
      <c r="E10" s="9">
        <v>6.5</v>
      </c>
      <c r="F10" s="9">
        <v>3.45</v>
      </c>
      <c r="G10" s="9">
        <v>0.45</v>
      </c>
      <c r="H10" s="9">
        <v>0.72</v>
      </c>
      <c r="I10" s="9">
        <v>0.3</v>
      </c>
      <c r="J10" s="10">
        <v>2500.0</v>
      </c>
    </row>
    <row r="11">
      <c r="B11" s="7" t="s">
        <v>18</v>
      </c>
      <c r="C11" s="8" t="s">
        <v>19</v>
      </c>
      <c r="D11" s="9">
        <v>3.5</v>
      </c>
      <c r="E11" s="9">
        <v>5.0</v>
      </c>
      <c r="F11" s="9">
        <v>1.0</v>
      </c>
      <c r="G11" s="9">
        <v>0.45</v>
      </c>
      <c r="H11" s="9">
        <v>0.9</v>
      </c>
      <c r="I11" s="9">
        <v>0.34</v>
      </c>
      <c r="J11" s="10" t="s">
        <v>20</v>
      </c>
    </row>
    <row r="12">
      <c r="B12" s="7" t="s">
        <v>21</v>
      </c>
      <c r="C12" s="8" t="s">
        <v>22</v>
      </c>
      <c r="D12" s="9">
        <v>3.5</v>
      </c>
      <c r="E12" s="9">
        <v>5.0</v>
      </c>
      <c r="F12" s="9">
        <v>1.0</v>
      </c>
      <c r="G12" s="9">
        <v>0.45</v>
      </c>
      <c r="H12" s="9">
        <v>0.85</v>
      </c>
      <c r="I12" s="9">
        <v>0.35</v>
      </c>
      <c r="J12" s="10" t="s">
        <v>23</v>
      </c>
    </row>
    <row r="13">
      <c r="B13" s="7" t="s">
        <v>24</v>
      </c>
      <c r="C13" s="8">
        <v>17.0</v>
      </c>
      <c r="D13" s="9">
        <v>3.5</v>
      </c>
      <c r="E13" s="9">
        <v>5.5</v>
      </c>
      <c r="F13" s="9">
        <v>3.5</v>
      </c>
      <c r="G13" s="9">
        <v>0.45</v>
      </c>
      <c r="H13" s="9">
        <v>0.75</v>
      </c>
      <c r="I13" s="9">
        <v>0.32</v>
      </c>
      <c r="J13" s="10">
        <v>2650.0</v>
      </c>
    </row>
    <row r="14">
      <c r="B14" s="7" t="s">
        <v>25</v>
      </c>
      <c r="C14" s="8" t="s">
        <v>26</v>
      </c>
      <c r="D14" s="9">
        <v>3.5</v>
      </c>
      <c r="E14" s="9">
        <v>5.0</v>
      </c>
      <c r="F14" s="9">
        <v>3.0</v>
      </c>
      <c r="G14" s="9">
        <v>0.45</v>
      </c>
      <c r="H14" s="9">
        <v>0.75</v>
      </c>
      <c r="I14" s="9">
        <v>0.3</v>
      </c>
      <c r="J14" s="10" t="s">
        <v>27</v>
      </c>
    </row>
    <row r="15">
      <c r="B15" s="7" t="s">
        <v>28</v>
      </c>
      <c r="C15" s="8" t="s">
        <v>29</v>
      </c>
      <c r="D15" s="9">
        <v>3.5</v>
      </c>
      <c r="E15" s="9">
        <v>3.5</v>
      </c>
      <c r="F15" s="9">
        <v>1.4</v>
      </c>
      <c r="G15" s="9">
        <v>0.7</v>
      </c>
      <c r="H15" s="9">
        <v>1.4</v>
      </c>
      <c r="I15" s="9">
        <v>0.45</v>
      </c>
      <c r="J15" s="10">
        <v>3000.0</v>
      </c>
    </row>
    <row r="16">
      <c r="B16" s="7" t="s">
        <v>30</v>
      </c>
      <c r="C16" s="8">
        <v>20.0</v>
      </c>
      <c r="D16" s="9">
        <v>3.5</v>
      </c>
      <c r="E16" s="9">
        <v>3.5</v>
      </c>
      <c r="F16" s="9">
        <v>1.2</v>
      </c>
      <c r="G16" s="9">
        <v>0.6</v>
      </c>
      <c r="H16" s="9">
        <v>1.2</v>
      </c>
      <c r="I16" s="9">
        <v>0.4</v>
      </c>
      <c r="J16" s="10">
        <v>2800.0</v>
      </c>
    </row>
    <row r="17">
      <c r="B17" s="7" t="s">
        <v>31</v>
      </c>
      <c r="C17" s="8">
        <v>16.0</v>
      </c>
      <c r="D17" s="9">
        <v>3.5</v>
      </c>
      <c r="E17" s="9">
        <v>4.0</v>
      </c>
      <c r="F17" s="9">
        <v>1.2</v>
      </c>
      <c r="G17" s="9">
        <v>0.45</v>
      </c>
      <c r="H17" s="9">
        <v>0.65</v>
      </c>
      <c r="I17" s="9">
        <v>0.4</v>
      </c>
      <c r="J17" s="10">
        <v>2800.0</v>
      </c>
    </row>
    <row r="18">
      <c r="B18" s="7" t="s">
        <v>32</v>
      </c>
      <c r="C18" s="8" t="s">
        <v>33</v>
      </c>
      <c r="D18" s="9">
        <v>4.0</v>
      </c>
      <c r="E18" s="9"/>
      <c r="F18" s="9">
        <v>3.2</v>
      </c>
      <c r="G18" s="9">
        <v>0.6</v>
      </c>
      <c r="H18" s="9">
        <v>0.6</v>
      </c>
      <c r="I18" s="9">
        <v>0.48</v>
      </c>
      <c r="J18" s="10" t="s">
        <v>34</v>
      </c>
    </row>
    <row r="19">
      <c r="B19" s="7" t="s">
        <v>35</v>
      </c>
      <c r="C19" s="8">
        <v>14.5</v>
      </c>
      <c r="D19" s="9">
        <v>4.0</v>
      </c>
      <c r="E19" s="9">
        <v>9.5</v>
      </c>
      <c r="F19" s="9">
        <v>1.0</v>
      </c>
      <c r="G19" s="9">
        <v>0.4</v>
      </c>
      <c r="H19" s="9">
        <v>0.6</v>
      </c>
      <c r="I19" s="9">
        <v>0.25</v>
      </c>
      <c r="J19" s="10">
        <v>2600.0</v>
      </c>
    </row>
    <row r="20">
      <c r="B20" s="7" t="s">
        <v>36</v>
      </c>
      <c r="C20" s="8">
        <v>24.0</v>
      </c>
      <c r="D20" s="9"/>
      <c r="E20" s="9"/>
      <c r="F20" s="9">
        <v>1.03</v>
      </c>
      <c r="G20" s="9">
        <v>0.65</v>
      </c>
      <c r="H20" s="9">
        <v>1.3</v>
      </c>
      <c r="I20" s="9">
        <v>0.95</v>
      </c>
      <c r="J20" s="10">
        <v>3000.0</v>
      </c>
    </row>
    <row r="21" ht="15.75" customHeight="1">
      <c r="B21" s="7" t="s">
        <v>37</v>
      </c>
      <c r="C21" s="8" t="s">
        <v>38</v>
      </c>
      <c r="D21" s="9"/>
      <c r="E21" s="9"/>
      <c r="F21" s="9">
        <v>0.93</v>
      </c>
      <c r="G21" s="9">
        <v>0.61</v>
      </c>
      <c r="H21" s="9">
        <v>0.95</v>
      </c>
      <c r="I21" s="9">
        <v>0.83</v>
      </c>
      <c r="J21" s="10">
        <v>2800.0</v>
      </c>
    </row>
    <row r="22" ht="15.75" customHeight="1">
      <c r="B22" s="7" t="s">
        <v>39</v>
      </c>
      <c r="C22" s="8" t="s">
        <v>40</v>
      </c>
      <c r="D22" s="9"/>
      <c r="E22" s="9"/>
      <c r="F22" s="9">
        <v>1.2</v>
      </c>
      <c r="G22" s="9">
        <v>0.45</v>
      </c>
      <c r="H22" s="9">
        <v>0.95</v>
      </c>
      <c r="I22" s="9">
        <v>0.83</v>
      </c>
      <c r="J22" s="10">
        <v>2800.0</v>
      </c>
    </row>
    <row r="23" ht="15.75" customHeight="1">
      <c r="B23" s="7" t="s">
        <v>41</v>
      </c>
      <c r="C23" s="8">
        <v>15.0</v>
      </c>
      <c r="D23" s="9"/>
      <c r="E23" s="9"/>
      <c r="F23" s="9">
        <v>3.7</v>
      </c>
      <c r="G23" s="9">
        <v>0.67</v>
      </c>
      <c r="H23" s="9">
        <v>0.77</v>
      </c>
      <c r="I23" s="9">
        <v>0.54</v>
      </c>
      <c r="J23" s="10">
        <v>2600.0</v>
      </c>
    </row>
    <row r="24" ht="15.75" customHeight="1">
      <c r="B24" s="7" t="s">
        <v>42</v>
      </c>
      <c r="C24" s="8">
        <v>18.0</v>
      </c>
      <c r="D24" s="9"/>
      <c r="E24" s="9"/>
      <c r="F24" s="9">
        <v>0.55</v>
      </c>
      <c r="G24" s="9">
        <v>0.63</v>
      </c>
      <c r="H24" s="9">
        <v>0.9</v>
      </c>
      <c r="I24" s="9">
        <v>0.75</v>
      </c>
      <c r="J24" s="10">
        <v>2800.0</v>
      </c>
    </row>
    <row r="25" ht="15.75" customHeight="1">
      <c r="B25" s="7" t="s">
        <v>43</v>
      </c>
      <c r="C25" s="8" t="s">
        <v>44</v>
      </c>
      <c r="D25" s="9"/>
      <c r="E25" s="9"/>
      <c r="F25" s="9">
        <v>0.69</v>
      </c>
      <c r="G25" s="9">
        <v>0.5</v>
      </c>
      <c r="H25" s="9">
        <v>0.68</v>
      </c>
      <c r="I25" s="9">
        <v>0.58</v>
      </c>
      <c r="J25" s="10">
        <v>2800.0</v>
      </c>
    </row>
    <row r="26" ht="15.75" customHeight="1">
      <c r="B26" s="7" t="s">
        <v>45</v>
      </c>
      <c r="C26" s="8" t="s">
        <v>44</v>
      </c>
      <c r="D26" s="9"/>
      <c r="E26" s="9"/>
      <c r="F26" s="9">
        <v>0.69</v>
      </c>
      <c r="G26" s="9">
        <v>0.5</v>
      </c>
      <c r="H26" s="9">
        <v>0.68</v>
      </c>
      <c r="I26" s="9">
        <v>0.58</v>
      </c>
      <c r="J26" s="10">
        <v>2800.0</v>
      </c>
    </row>
    <row r="27" ht="15.75" customHeight="1">
      <c r="B27" s="7" t="s">
        <v>46</v>
      </c>
      <c r="C27" s="8">
        <v>13.0</v>
      </c>
      <c r="D27" s="9"/>
      <c r="E27" s="9"/>
      <c r="F27" s="9">
        <v>3.1</v>
      </c>
      <c r="G27" s="9">
        <v>0.62</v>
      </c>
      <c r="H27" s="9">
        <v>0.66</v>
      </c>
      <c r="I27" s="9">
        <v>0.6</v>
      </c>
      <c r="J27" s="10" t="s">
        <v>34</v>
      </c>
    </row>
    <row r="28" ht="15.75" customHeight="1">
      <c r="B28" s="7" t="s">
        <v>47</v>
      </c>
      <c r="C28" s="8">
        <v>17.0</v>
      </c>
      <c r="D28" s="9"/>
      <c r="E28" s="9"/>
      <c r="F28" s="9">
        <v>0.8</v>
      </c>
      <c r="G28" s="9">
        <v>0.7</v>
      </c>
      <c r="H28" s="9">
        <v>0.95</v>
      </c>
      <c r="I28" s="9">
        <v>0.85</v>
      </c>
      <c r="J28" s="10">
        <v>2800.0</v>
      </c>
    </row>
    <row r="29" ht="15.75" customHeight="1">
      <c r="B29" s="7" t="s">
        <v>48</v>
      </c>
      <c r="C29" s="8">
        <v>12.0</v>
      </c>
      <c r="D29" s="9"/>
      <c r="E29" s="9"/>
      <c r="F29" s="9">
        <v>0.75</v>
      </c>
      <c r="G29" s="9">
        <v>0.62</v>
      </c>
      <c r="H29" s="9">
        <v>0.56</v>
      </c>
      <c r="I29" s="9">
        <v>0.56</v>
      </c>
      <c r="J29" s="10">
        <v>2700.0</v>
      </c>
    </row>
    <row r="30" ht="15.75" customHeight="1">
      <c r="B30" s="7" t="s">
        <v>49</v>
      </c>
      <c r="C30" s="8">
        <v>15.0</v>
      </c>
      <c r="D30" s="9"/>
      <c r="E30" s="9"/>
      <c r="F30" s="9">
        <v>3.0</v>
      </c>
      <c r="G30" s="9">
        <v>0.6</v>
      </c>
      <c r="H30" s="9">
        <v>0.66</v>
      </c>
      <c r="I30" s="9">
        <v>47.0</v>
      </c>
      <c r="J30" s="10">
        <v>2500.0</v>
      </c>
    </row>
    <row r="31" ht="15.75" customHeight="1">
      <c r="B31" s="7" t="s">
        <v>50</v>
      </c>
      <c r="C31" s="8">
        <v>27.0</v>
      </c>
      <c r="D31" s="9"/>
      <c r="E31" s="9"/>
      <c r="F31" s="9">
        <v>0.9</v>
      </c>
      <c r="G31" s="9">
        <v>0.7</v>
      </c>
      <c r="H31" s="9">
        <v>1.39</v>
      </c>
      <c r="I31" s="9">
        <v>0.91</v>
      </c>
      <c r="J31" s="10">
        <v>3000.0</v>
      </c>
    </row>
    <row r="32" ht="15.75" customHeight="1">
      <c r="B32" s="7" t="s">
        <v>51</v>
      </c>
      <c r="C32" s="8">
        <v>21.0</v>
      </c>
      <c r="D32" s="9"/>
      <c r="E32" s="9"/>
      <c r="F32" s="9">
        <v>0.9</v>
      </c>
      <c r="G32" s="9">
        <v>0.65</v>
      </c>
      <c r="H32" s="9">
        <v>1.29</v>
      </c>
      <c r="I32" s="9">
        <v>0.8</v>
      </c>
      <c r="J32" s="10">
        <v>2800.0</v>
      </c>
    </row>
    <row r="33" ht="15.75" customHeight="1">
      <c r="B33" s="7" t="s">
        <v>52</v>
      </c>
      <c r="C33" s="8">
        <v>19.5</v>
      </c>
      <c r="D33" s="9"/>
      <c r="E33" s="9"/>
      <c r="F33" s="9">
        <v>3.2</v>
      </c>
      <c r="G33" s="9">
        <v>0.65</v>
      </c>
      <c r="H33" s="9">
        <v>1.1</v>
      </c>
      <c r="I33" s="9">
        <v>0.78</v>
      </c>
      <c r="J33" s="10" t="s">
        <v>27</v>
      </c>
    </row>
    <row r="34" ht="15.75" customHeight="1">
      <c r="B34" s="7" t="s">
        <v>53</v>
      </c>
      <c r="C34" s="8">
        <v>18.0</v>
      </c>
      <c r="D34" s="9">
        <v>3.5</v>
      </c>
      <c r="E34" s="9">
        <v>6.0</v>
      </c>
      <c r="F34" s="9">
        <v>0.8</v>
      </c>
      <c r="G34" s="9">
        <v>0.6</v>
      </c>
      <c r="H34" s="12">
        <v>0.8</v>
      </c>
      <c r="I34" s="9">
        <v>0.24</v>
      </c>
      <c r="J34" s="10">
        <v>2500.0</v>
      </c>
    </row>
    <row r="35" ht="15.75" customHeight="1">
      <c r="B35" s="7" t="s">
        <v>54</v>
      </c>
      <c r="C35" s="8">
        <v>14.0</v>
      </c>
      <c r="D35" s="9">
        <v>3.0</v>
      </c>
      <c r="E35" s="9">
        <v>7.0</v>
      </c>
      <c r="F35" s="9">
        <v>0.7</v>
      </c>
      <c r="G35" s="9">
        <v>0.5</v>
      </c>
      <c r="H35" s="9">
        <v>0.6</v>
      </c>
      <c r="I35" s="9">
        <v>0.22</v>
      </c>
      <c r="J35" s="10">
        <v>2500.0</v>
      </c>
    </row>
    <row r="36" ht="15.75" customHeight="1">
      <c r="B36" s="7" t="s">
        <v>55</v>
      </c>
      <c r="C36" s="8">
        <v>15.0</v>
      </c>
      <c r="D36" s="9">
        <v>3.5</v>
      </c>
      <c r="E36" s="9">
        <v>7.0</v>
      </c>
      <c r="F36" s="9">
        <v>0.8</v>
      </c>
      <c r="G36" s="9">
        <v>0.6</v>
      </c>
      <c r="H36" s="9">
        <v>0.6</v>
      </c>
      <c r="I36" s="9">
        <v>22.0</v>
      </c>
      <c r="J36" s="10">
        <v>2500.0</v>
      </c>
    </row>
    <row r="37" ht="15.75" customHeight="1">
      <c r="B37" s="7" t="s">
        <v>56</v>
      </c>
      <c r="C37" s="8">
        <v>17.0</v>
      </c>
      <c r="D37" s="9">
        <v>3.5</v>
      </c>
      <c r="E37" s="9">
        <v>9.5</v>
      </c>
      <c r="F37" s="9">
        <v>1.2</v>
      </c>
      <c r="G37" s="9">
        <v>0.6</v>
      </c>
      <c r="H37" s="9">
        <v>0.75</v>
      </c>
      <c r="I37" s="9">
        <v>0.3</v>
      </c>
      <c r="J37" s="10">
        <v>2500.0</v>
      </c>
    </row>
    <row r="38" ht="15.75" customHeight="1">
      <c r="B38" s="7" t="s">
        <v>57</v>
      </c>
      <c r="C38" s="8">
        <v>25.0</v>
      </c>
      <c r="D38" s="9">
        <v>9.0</v>
      </c>
      <c r="E38" s="9">
        <v>10.0</v>
      </c>
      <c r="F38" s="9">
        <v>0.25</v>
      </c>
      <c r="G38" s="9">
        <v>0.5</v>
      </c>
      <c r="H38" s="9"/>
      <c r="I38" s="9"/>
      <c r="J38" s="10">
        <v>2300.0</v>
      </c>
    </row>
    <row r="39" ht="15.75" customHeight="1">
      <c r="B39" s="13" t="s">
        <v>58</v>
      </c>
      <c r="C39" s="14">
        <v>33.0</v>
      </c>
      <c r="D39" s="15">
        <v>7.0</v>
      </c>
      <c r="E39" s="15">
        <v>5.0</v>
      </c>
      <c r="F39" s="15">
        <v>1.5</v>
      </c>
      <c r="G39" s="15">
        <v>0.3</v>
      </c>
      <c r="H39" s="15"/>
      <c r="I39" s="15"/>
      <c r="J39" s="16">
        <v>2500.0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I6:I7"/>
    <mergeCell ref="J6:J7"/>
    <mergeCell ref="B4:J4"/>
    <mergeCell ref="C6:C7"/>
    <mergeCell ref="D6:D7"/>
    <mergeCell ref="E6:E7"/>
    <mergeCell ref="F6:F7"/>
    <mergeCell ref="G6:G7"/>
    <mergeCell ref="H6:H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14"/>
    <col customWidth="1" min="3" max="3" width="11.0"/>
    <col customWidth="1" min="4" max="4" width="14.0"/>
    <col customWidth="1" min="5" max="5" width="11.43"/>
    <col customWidth="1" min="6" max="6" width="13.71"/>
    <col customWidth="1" min="7" max="26" width="8.71"/>
  </cols>
  <sheetData>
    <row r="2">
      <c r="B2" s="17" t="s">
        <v>59</v>
      </c>
    </row>
    <row r="4">
      <c r="B4" s="18"/>
      <c r="C4" s="19" t="s">
        <v>60</v>
      </c>
      <c r="D4" s="19" t="s">
        <v>61</v>
      </c>
      <c r="E4" s="19" t="s">
        <v>16</v>
      </c>
      <c r="F4" s="19" t="s">
        <v>62</v>
      </c>
    </row>
    <row r="5">
      <c r="B5" s="20" t="s">
        <v>63</v>
      </c>
      <c r="C5" s="21" t="s">
        <v>64</v>
      </c>
      <c r="D5" s="21" t="s">
        <v>65</v>
      </c>
      <c r="E5" s="21" t="s">
        <v>66</v>
      </c>
      <c r="F5" s="21" t="s">
        <v>67</v>
      </c>
    </row>
    <row r="6">
      <c r="B6" s="20" t="s">
        <v>68</v>
      </c>
      <c r="C6" s="21" t="s">
        <v>69</v>
      </c>
      <c r="D6" s="21" t="s">
        <v>70</v>
      </c>
      <c r="E6" s="21" t="s">
        <v>71</v>
      </c>
      <c r="F6" s="21" t="s">
        <v>71</v>
      </c>
    </row>
    <row r="7">
      <c r="B7" s="20" t="s">
        <v>72</v>
      </c>
      <c r="C7" s="21" t="s">
        <v>73</v>
      </c>
      <c r="D7" s="21" t="s">
        <v>74</v>
      </c>
      <c r="E7" s="21" t="s">
        <v>75</v>
      </c>
      <c r="F7" s="21" t="s">
        <v>74</v>
      </c>
    </row>
    <row r="8">
      <c r="B8" s="20" t="s">
        <v>76</v>
      </c>
      <c r="C8" s="21" t="s">
        <v>77</v>
      </c>
      <c r="D8" s="21" t="s">
        <v>78</v>
      </c>
      <c r="E8" s="21" t="s">
        <v>78</v>
      </c>
      <c r="F8" s="21" t="s">
        <v>78</v>
      </c>
    </row>
    <row r="9">
      <c r="B9" s="20" t="s">
        <v>79</v>
      </c>
      <c r="C9" s="21" t="s">
        <v>73</v>
      </c>
      <c r="D9" s="21" t="s">
        <v>73</v>
      </c>
      <c r="E9" s="21" t="s">
        <v>75</v>
      </c>
      <c r="F9" s="21" t="s">
        <v>75</v>
      </c>
    </row>
    <row r="10">
      <c r="B10" s="20" t="s">
        <v>80</v>
      </c>
      <c r="C10" s="21"/>
      <c r="D10" s="21" t="s">
        <v>74</v>
      </c>
      <c r="E10" s="21" t="s">
        <v>74</v>
      </c>
      <c r="F10" s="21" t="s">
        <v>74</v>
      </c>
    </row>
    <row r="11">
      <c r="B11" s="20" t="s">
        <v>81</v>
      </c>
      <c r="C11" s="21" t="s">
        <v>71</v>
      </c>
      <c r="D11" s="21" t="s">
        <v>69</v>
      </c>
      <c r="E11" s="21" t="s">
        <v>71</v>
      </c>
      <c r="F11" s="21" t="s">
        <v>71</v>
      </c>
    </row>
    <row r="12">
      <c r="B12" s="20" t="s">
        <v>82</v>
      </c>
      <c r="C12" s="21" t="s">
        <v>73</v>
      </c>
      <c r="D12" s="21" t="s">
        <v>73</v>
      </c>
      <c r="E12" s="21" t="s">
        <v>73</v>
      </c>
      <c r="F12" s="21" t="s">
        <v>73</v>
      </c>
    </row>
    <row r="13">
      <c r="B13" s="20" t="s">
        <v>83</v>
      </c>
      <c r="C13" s="21" t="s">
        <v>84</v>
      </c>
      <c r="D13" s="21" t="s">
        <v>73</v>
      </c>
      <c r="E13" s="21" t="s">
        <v>84</v>
      </c>
      <c r="F13" s="21" t="s">
        <v>85</v>
      </c>
    </row>
    <row r="14">
      <c r="B14" s="20" t="s">
        <v>86</v>
      </c>
      <c r="C14" s="21" t="s">
        <v>84</v>
      </c>
      <c r="D14" s="21" t="s">
        <v>73</v>
      </c>
      <c r="E14" s="21" t="s">
        <v>87</v>
      </c>
      <c r="F14" s="21" t="s">
        <v>87</v>
      </c>
    </row>
    <row r="15">
      <c r="B15" s="20" t="s">
        <v>88</v>
      </c>
      <c r="C15" s="21" t="s">
        <v>74</v>
      </c>
      <c r="D15" s="21" t="s">
        <v>74</v>
      </c>
      <c r="E15" s="21" t="s">
        <v>75</v>
      </c>
      <c r="F15" s="21" t="s">
        <v>75</v>
      </c>
    </row>
    <row r="16">
      <c r="B16" s="20" t="s">
        <v>89</v>
      </c>
      <c r="C16" s="21" t="s">
        <v>73</v>
      </c>
      <c r="D16" s="21" t="s">
        <v>73</v>
      </c>
      <c r="E16" s="21" t="s">
        <v>73</v>
      </c>
      <c r="F16" s="21" t="s">
        <v>73</v>
      </c>
    </row>
    <row r="17">
      <c r="B17" s="20" t="s">
        <v>90</v>
      </c>
      <c r="C17" s="21" t="s">
        <v>73</v>
      </c>
      <c r="D17" s="21" t="s">
        <v>73</v>
      </c>
      <c r="E17" s="21" t="s">
        <v>73</v>
      </c>
      <c r="F17" s="21" t="s">
        <v>73</v>
      </c>
    </row>
    <row r="18">
      <c r="B18" s="20" t="s">
        <v>91</v>
      </c>
      <c r="C18" s="21" t="s">
        <v>73</v>
      </c>
      <c r="D18" s="21" t="s">
        <v>87</v>
      </c>
      <c r="E18" s="21" t="s">
        <v>87</v>
      </c>
      <c r="F18" s="21" t="s">
        <v>87</v>
      </c>
    </row>
    <row r="19">
      <c r="B19" s="20" t="s">
        <v>92</v>
      </c>
      <c r="C19" s="21"/>
      <c r="D19" s="21"/>
      <c r="E19" s="21"/>
      <c r="F19" s="21"/>
    </row>
    <row r="20">
      <c r="B20" s="20" t="s">
        <v>93</v>
      </c>
      <c r="C20" s="21" t="s">
        <v>69</v>
      </c>
      <c r="D20" s="21" t="s">
        <v>70</v>
      </c>
      <c r="E20" s="21" t="s">
        <v>69</v>
      </c>
      <c r="F20" s="21" t="s">
        <v>69</v>
      </c>
    </row>
    <row r="21" ht="15.75" customHeight="1">
      <c r="B21" s="20" t="s">
        <v>94</v>
      </c>
      <c r="C21" s="21" t="s">
        <v>95</v>
      </c>
      <c r="D21" s="21" t="s">
        <v>95</v>
      </c>
      <c r="E21" s="21" t="s">
        <v>95</v>
      </c>
      <c r="F21" s="21" t="s">
        <v>73</v>
      </c>
    </row>
    <row r="22" ht="15.75" customHeight="1">
      <c r="B22" s="20" t="s">
        <v>96</v>
      </c>
      <c r="C22" s="21" t="s">
        <v>97</v>
      </c>
      <c r="D22" s="21" t="s">
        <v>97</v>
      </c>
      <c r="E22" s="21" t="s">
        <v>97</v>
      </c>
      <c r="F22" s="21" t="s">
        <v>97</v>
      </c>
    </row>
    <row r="23" ht="15.75" customHeight="1">
      <c r="B23" s="20" t="s">
        <v>98</v>
      </c>
      <c r="C23" s="21"/>
      <c r="D23" s="21"/>
      <c r="E23" s="21"/>
      <c r="F23" s="21"/>
    </row>
    <row r="24" ht="15.75" customHeight="1">
      <c r="B24" s="20" t="s">
        <v>99</v>
      </c>
      <c r="C24" s="21" t="s">
        <v>85</v>
      </c>
      <c r="D24" s="21" t="s">
        <v>85</v>
      </c>
      <c r="E24" s="21" t="s">
        <v>95</v>
      </c>
      <c r="F24" s="21" t="s">
        <v>95</v>
      </c>
    </row>
    <row r="25" ht="15.75" customHeight="1">
      <c r="B25" s="20" t="s">
        <v>100</v>
      </c>
      <c r="C25" s="21" t="s">
        <v>84</v>
      </c>
      <c r="D25" s="21" t="s">
        <v>73</v>
      </c>
      <c r="E25" s="21" t="s">
        <v>84</v>
      </c>
      <c r="F25" s="21" t="s">
        <v>84</v>
      </c>
    </row>
    <row r="26" ht="15.75" customHeight="1">
      <c r="B26" s="20" t="s">
        <v>101</v>
      </c>
      <c r="C26" s="21" t="s">
        <v>102</v>
      </c>
      <c r="D26" s="21" t="s">
        <v>102</v>
      </c>
      <c r="E26" s="21" t="s">
        <v>102</v>
      </c>
      <c r="F26" s="21" t="s">
        <v>102</v>
      </c>
    </row>
    <row r="27" ht="15.75" customHeight="1">
      <c r="B27" s="20" t="s">
        <v>103</v>
      </c>
      <c r="C27" s="21"/>
      <c r="D27" s="21"/>
      <c r="E27" s="21"/>
      <c r="F27" s="21"/>
    </row>
    <row r="28" ht="15.75" customHeight="1">
      <c r="B28" s="20" t="s">
        <v>8</v>
      </c>
      <c r="C28" s="21"/>
      <c r="D28" s="21"/>
      <c r="E28" s="21"/>
      <c r="F28" s="21"/>
    </row>
    <row r="29" ht="15.75" customHeight="1">
      <c r="B29" s="20" t="s">
        <v>7</v>
      </c>
      <c r="C29" s="21"/>
      <c r="D29" s="21"/>
      <c r="E29" s="21"/>
      <c r="F29" s="21"/>
    </row>
    <row r="30" ht="15.75" customHeight="1">
      <c r="B30" s="20" t="s">
        <v>104</v>
      </c>
      <c r="C30" s="21" t="s">
        <v>84</v>
      </c>
      <c r="D30" s="21" t="s">
        <v>84</v>
      </c>
      <c r="E30" s="21"/>
      <c r="F30" s="21"/>
    </row>
    <row r="31" ht="15.75" customHeight="1">
      <c r="B31" s="20" t="s">
        <v>105</v>
      </c>
      <c r="C31" s="21"/>
      <c r="D31" s="21"/>
      <c r="E31" s="21" t="s">
        <v>84</v>
      </c>
      <c r="F31" s="21" t="s">
        <v>84</v>
      </c>
    </row>
    <row r="32" ht="15.75" customHeight="1">
      <c r="B32" s="20" t="s">
        <v>106</v>
      </c>
      <c r="C32" s="21"/>
      <c r="D32" s="21"/>
      <c r="E32" s="21"/>
      <c r="F32" s="21"/>
    </row>
    <row r="33" ht="15.75" customHeight="1">
      <c r="B33" s="20" t="s">
        <v>107</v>
      </c>
      <c r="C33" s="21"/>
      <c r="D33" s="21"/>
      <c r="E33" s="21"/>
      <c r="F33" s="21"/>
    </row>
    <row r="34" ht="15.75" customHeight="1">
      <c r="B34" s="20" t="s">
        <v>108</v>
      </c>
      <c r="C34" s="21" t="s">
        <v>84</v>
      </c>
      <c r="D34" s="21" t="s">
        <v>84</v>
      </c>
      <c r="E34" s="21"/>
      <c r="F34" s="2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0"/>
    <col customWidth="1" min="3" max="26" width="8.71"/>
  </cols>
  <sheetData>
    <row r="4">
      <c r="B4" s="22" t="s">
        <v>109</v>
      </c>
      <c r="C4" s="23"/>
      <c r="D4" s="23"/>
      <c r="E4" s="23"/>
      <c r="F4" s="23"/>
      <c r="G4" s="23"/>
      <c r="H4" s="24"/>
      <c r="I4" s="24"/>
      <c r="J4" s="24"/>
    </row>
    <row r="5">
      <c r="B5" s="25" t="s">
        <v>110</v>
      </c>
      <c r="C5" s="26" t="s">
        <v>111</v>
      </c>
      <c r="D5" s="26" t="s">
        <v>112</v>
      </c>
      <c r="E5" s="26" t="s">
        <v>113</v>
      </c>
      <c r="F5" s="26" t="s">
        <v>5</v>
      </c>
      <c r="G5" s="26" t="s">
        <v>114</v>
      </c>
      <c r="H5" s="26" t="s">
        <v>8</v>
      </c>
      <c r="I5" s="26" t="s">
        <v>7</v>
      </c>
      <c r="J5" s="26" t="s">
        <v>115</v>
      </c>
    </row>
    <row r="6">
      <c r="B6" s="27"/>
      <c r="C6" s="27" t="s">
        <v>116</v>
      </c>
      <c r="D6" s="27" t="s">
        <v>117</v>
      </c>
      <c r="E6" s="27" t="s">
        <v>117</v>
      </c>
      <c r="F6" s="27" t="s">
        <v>117</v>
      </c>
      <c r="G6" s="27" t="s">
        <v>117</v>
      </c>
      <c r="H6" s="27" t="s">
        <v>117</v>
      </c>
      <c r="I6" s="27" t="s">
        <v>117</v>
      </c>
      <c r="J6" s="27" t="s">
        <v>118</v>
      </c>
    </row>
    <row r="7">
      <c r="B7" s="20" t="s">
        <v>63</v>
      </c>
      <c r="C7" s="20">
        <v>3400.0</v>
      </c>
      <c r="D7" s="20">
        <v>9.0</v>
      </c>
      <c r="E7" s="20">
        <v>88.0</v>
      </c>
      <c r="F7" s="20">
        <v>0.01</v>
      </c>
      <c r="G7" s="20">
        <v>0.27</v>
      </c>
      <c r="H7" s="20">
        <v>0.18</v>
      </c>
      <c r="I7" s="20">
        <v>0.25</v>
      </c>
      <c r="J7" s="28">
        <v>230.0</v>
      </c>
    </row>
    <row r="8">
      <c r="B8" s="20" t="s">
        <v>68</v>
      </c>
      <c r="C8" s="20">
        <v>2810.0</v>
      </c>
      <c r="D8" s="20">
        <v>10.0</v>
      </c>
      <c r="E8" s="20">
        <v>89.9</v>
      </c>
      <c r="F8" s="20">
        <v>0.04</v>
      </c>
      <c r="G8" s="20">
        <v>0.34</v>
      </c>
      <c r="H8" s="20">
        <v>0.16</v>
      </c>
      <c r="I8" s="20">
        <v>0.23</v>
      </c>
      <c r="J8" s="20"/>
    </row>
    <row r="9">
      <c r="B9" s="20" t="s">
        <v>72</v>
      </c>
      <c r="C9" s="20">
        <v>1810.0</v>
      </c>
      <c r="D9" s="20">
        <v>16.0</v>
      </c>
      <c r="E9" s="20">
        <v>88.0</v>
      </c>
      <c r="F9" s="20">
        <v>0.1</v>
      </c>
      <c r="G9" s="20">
        <v>0.3</v>
      </c>
      <c r="H9" s="20">
        <v>0.25</v>
      </c>
      <c r="I9" s="20">
        <v>0.9</v>
      </c>
      <c r="J9" s="28">
        <v>160.0</v>
      </c>
    </row>
    <row r="10">
      <c r="B10" s="20" t="s">
        <v>76</v>
      </c>
      <c r="C10" s="20">
        <v>2500.0</v>
      </c>
      <c r="D10" s="20">
        <v>11.0</v>
      </c>
      <c r="E10" s="20">
        <v>95.0</v>
      </c>
      <c r="F10" s="20">
        <v>0.01</v>
      </c>
      <c r="G10" s="20">
        <v>0.06</v>
      </c>
      <c r="H10" s="20">
        <v>0.18</v>
      </c>
      <c r="I10" s="20">
        <v>0.25</v>
      </c>
      <c r="J10" s="20">
        <v>0.0</v>
      </c>
    </row>
    <row r="11">
      <c r="B11" s="20" t="s">
        <v>79</v>
      </c>
      <c r="C11" s="20">
        <v>2600.0</v>
      </c>
      <c r="D11" s="20">
        <v>12.0</v>
      </c>
      <c r="E11" s="20">
        <v>100.0</v>
      </c>
      <c r="F11" s="20">
        <v>0.01</v>
      </c>
      <c r="G11" s="20">
        <v>0.09</v>
      </c>
      <c r="H11" s="20">
        <v>0.18</v>
      </c>
      <c r="I11" s="20">
        <v>0.25</v>
      </c>
      <c r="J11" s="20">
        <v>0.0</v>
      </c>
    </row>
    <row r="12">
      <c r="B12" s="20" t="s">
        <v>80</v>
      </c>
      <c r="C12" s="20">
        <v>2900.0</v>
      </c>
      <c r="D12" s="20">
        <v>12.0</v>
      </c>
      <c r="E12" s="20">
        <v>88.0</v>
      </c>
      <c r="F12" s="20">
        <v>0.1</v>
      </c>
      <c r="G12" s="20">
        <v>10.0</v>
      </c>
      <c r="H12" s="20">
        <v>0.24</v>
      </c>
      <c r="I12" s="20">
        <v>0.5</v>
      </c>
      <c r="J12" s="20">
        <v>0.0</v>
      </c>
    </row>
    <row r="13">
      <c r="B13" s="20" t="s">
        <v>81</v>
      </c>
      <c r="C13" s="20">
        <v>3400.0</v>
      </c>
      <c r="D13" s="20">
        <v>9.25</v>
      </c>
      <c r="E13" s="20">
        <v>88.0</v>
      </c>
      <c r="F13" s="20">
        <v>0.01</v>
      </c>
      <c r="G13" s="20">
        <v>0.27</v>
      </c>
      <c r="H13" s="20">
        <v>0.34</v>
      </c>
      <c r="I13" s="20">
        <v>0.25</v>
      </c>
      <c r="J13" s="20">
        <v>0.0</v>
      </c>
    </row>
    <row r="14">
      <c r="B14" s="20" t="s">
        <v>119</v>
      </c>
      <c r="C14" s="20">
        <v>3122.0</v>
      </c>
      <c r="D14" s="20">
        <v>22.0</v>
      </c>
      <c r="E14" s="20">
        <v>90.0</v>
      </c>
      <c r="F14" s="20">
        <v>0.3</v>
      </c>
      <c r="G14" s="20">
        <v>0.5</v>
      </c>
      <c r="H14" s="20"/>
      <c r="I14" s="20"/>
      <c r="J14" s="20">
        <v>0.0</v>
      </c>
    </row>
    <row r="15">
      <c r="B15" s="20" t="s">
        <v>83</v>
      </c>
      <c r="C15" s="20">
        <v>1980.0</v>
      </c>
      <c r="D15" s="20">
        <v>18.0</v>
      </c>
      <c r="E15" s="20">
        <v>90.0</v>
      </c>
      <c r="F15" s="20">
        <v>0.53</v>
      </c>
      <c r="G15" s="20">
        <v>0.56</v>
      </c>
      <c r="H15" s="20">
        <v>0.4</v>
      </c>
      <c r="I15" s="20">
        <v>0.9</v>
      </c>
      <c r="J15" s="20">
        <v>0.0</v>
      </c>
    </row>
    <row r="16">
      <c r="B16" s="20" t="s">
        <v>120</v>
      </c>
      <c r="C16" s="20">
        <v>3100.0</v>
      </c>
      <c r="D16" s="20">
        <v>42.0</v>
      </c>
      <c r="E16" s="20">
        <v>90.0</v>
      </c>
      <c r="F16" s="20">
        <v>0.2</v>
      </c>
      <c r="G16" s="20">
        <v>0.5</v>
      </c>
      <c r="H16" s="20">
        <v>0.65</v>
      </c>
      <c r="I16" s="20">
        <v>2.8</v>
      </c>
      <c r="J16" s="20">
        <v>120.0</v>
      </c>
    </row>
    <row r="17">
      <c r="B17" s="20" t="s">
        <v>121</v>
      </c>
      <c r="C17" s="20">
        <v>2560.0</v>
      </c>
      <c r="D17" s="20">
        <v>46.0</v>
      </c>
      <c r="E17" s="20">
        <v>90.0</v>
      </c>
      <c r="F17" s="20">
        <v>0.28</v>
      </c>
      <c r="G17" s="20">
        <v>0.75</v>
      </c>
      <c r="H17" s="20"/>
      <c r="I17" s="20">
        <v>3.05</v>
      </c>
      <c r="J17" s="28">
        <v>330.0</v>
      </c>
    </row>
    <row r="18">
      <c r="B18" s="20" t="s">
        <v>122</v>
      </c>
      <c r="C18" s="20">
        <v>2146.0</v>
      </c>
      <c r="D18" s="20">
        <v>41.0</v>
      </c>
      <c r="E18" s="20">
        <v>91.0</v>
      </c>
      <c r="F18" s="20">
        <v>0.25</v>
      </c>
      <c r="G18" s="20">
        <v>1.28</v>
      </c>
      <c r="H18" s="20">
        <v>0.4</v>
      </c>
      <c r="I18" s="20">
        <v>1.15</v>
      </c>
      <c r="J18" s="20">
        <v>0.0</v>
      </c>
    </row>
    <row r="19">
      <c r="B19" s="20" t="s">
        <v>90</v>
      </c>
      <c r="C19" s="20">
        <v>2640.0</v>
      </c>
      <c r="D19" s="20">
        <v>45.0</v>
      </c>
      <c r="E19" s="20">
        <v>92.0</v>
      </c>
      <c r="F19" s="20">
        <v>0.2</v>
      </c>
      <c r="G19" s="20">
        <v>0.2</v>
      </c>
      <c r="H19" s="20">
        <v>0.48</v>
      </c>
      <c r="I19" s="20">
        <v>0.25</v>
      </c>
      <c r="J19" s="20">
        <v>125.0</v>
      </c>
    </row>
    <row r="20">
      <c r="B20" s="20" t="s">
        <v>123</v>
      </c>
      <c r="C20" s="20">
        <v>2178.0</v>
      </c>
      <c r="D20" s="20">
        <v>15.4</v>
      </c>
      <c r="E20" s="20">
        <v>88.0</v>
      </c>
      <c r="F20" s="20">
        <v>0.2</v>
      </c>
      <c r="G20" s="20">
        <v>0.16</v>
      </c>
      <c r="H20" s="20">
        <v>0.39</v>
      </c>
      <c r="I20" s="20">
        <v>0.64</v>
      </c>
      <c r="J20" s="20">
        <v>30.0</v>
      </c>
    </row>
    <row r="21" ht="15.75" customHeight="1">
      <c r="B21" s="20" t="s">
        <v>92</v>
      </c>
      <c r="C21" s="20">
        <v>1914.0</v>
      </c>
      <c r="D21" s="20">
        <v>37.0</v>
      </c>
      <c r="E21" s="20">
        <v>89.0</v>
      </c>
      <c r="F21" s="20">
        <v>0.5</v>
      </c>
      <c r="G21" s="20">
        <v>0.3</v>
      </c>
      <c r="H21" s="20">
        <v>1.3</v>
      </c>
      <c r="I21" s="20">
        <v>1.6</v>
      </c>
      <c r="J21" s="20">
        <v>0.0</v>
      </c>
    </row>
    <row r="22" ht="15.75" customHeight="1">
      <c r="B22" s="20" t="s">
        <v>124</v>
      </c>
      <c r="C22" s="20">
        <v>2420.0</v>
      </c>
      <c r="D22" s="20">
        <v>36.6</v>
      </c>
      <c r="E22" s="20">
        <v>88.0</v>
      </c>
      <c r="F22" s="20">
        <v>0.2</v>
      </c>
      <c r="G22" s="20">
        <v>0.33</v>
      </c>
      <c r="H22" s="20">
        <v>0.59</v>
      </c>
      <c r="I22" s="20">
        <v>2.8</v>
      </c>
      <c r="J22" s="20">
        <v>120.0</v>
      </c>
    </row>
    <row r="23" ht="15.75" customHeight="1">
      <c r="B23" s="20" t="s">
        <v>94</v>
      </c>
      <c r="C23" s="20">
        <v>3000.0</v>
      </c>
      <c r="D23" s="20">
        <v>65.0</v>
      </c>
      <c r="E23" s="20">
        <v>92.0</v>
      </c>
      <c r="F23" s="20">
        <v>2.2</v>
      </c>
      <c r="G23" s="20">
        <v>1.8</v>
      </c>
      <c r="H23" s="20">
        <v>1.8</v>
      </c>
      <c r="I23" s="20">
        <v>4.5</v>
      </c>
      <c r="J23" s="20">
        <v>560.0</v>
      </c>
    </row>
    <row r="24" ht="15.75" customHeight="1">
      <c r="B24" s="20" t="s">
        <v>125</v>
      </c>
      <c r="C24" s="20">
        <v>3344.0</v>
      </c>
      <c r="D24" s="20">
        <v>88.4</v>
      </c>
      <c r="E24" s="20">
        <v>87.3</v>
      </c>
      <c r="F24" s="20">
        <v>0.25</v>
      </c>
      <c r="G24" s="20">
        <v>0.21</v>
      </c>
      <c r="H24" s="20">
        <v>28.8</v>
      </c>
      <c r="I24" s="20">
        <v>63.0</v>
      </c>
      <c r="J24" s="20">
        <v>0.0</v>
      </c>
    </row>
    <row r="25" ht="15.75" customHeight="1">
      <c r="B25" s="20" t="s">
        <v>98</v>
      </c>
      <c r="C25" s="20">
        <v>2420.0</v>
      </c>
      <c r="D25" s="20">
        <v>30.0</v>
      </c>
      <c r="E25" s="20">
        <v>93.0</v>
      </c>
      <c r="F25" s="20">
        <v>0.1</v>
      </c>
      <c r="G25" s="20">
        <v>0.46</v>
      </c>
      <c r="H25" s="20">
        <v>0.7</v>
      </c>
      <c r="I25" s="20">
        <v>3.4</v>
      </c>
      <c r="J25" s="20">
        <v>0.0</v>
      </c>
    </row>
    <row r="26" ht="15.75" customHeight="1">
      <c r="B26" s="20" t="s">
        <v>126</v>
      </c>
      <c r="C26" s="20"/>
      <c r="D26" s="20"/>
      <c r="E26" s="20">
        <v>99.5</v>
      </c>
      <c r="F26" s="20">
        <v>35.0</v>
      </c>
      <c r="G26" s="20">
        <v>0.05</v>
      </c>
      <c r="H26" s="20"/>
      <c r="I26" s="20"/>
      <c r="J26" s="20">
        <v>30.0</v>
      </c>
    </row>
    <row r="27" ht="15.75" customHeight="1">
      <c r="B27" s="20" t="s">
        <v>100</v>
      </c>
      <c r="C27" s="20"/>
      <c r="D27" s="20"/>
      <c r="E27" s="20">
        <v>99.0</v>
      </c>
      <c r="F27" s="20">
        <v>37.0</v>
      </c>
      <c r="G27" s="20">
        <v>15.0</v>
      </c>
      <c r="H27" s="20"/>
      <c r="I27" s="20"/>
      <c r="J27" s="20">
        <v>60.0</v>
      </c>
    </row>
    <row r="28" ht="15.75" customHeight="1">
      <c r="B28" s="20" t="s">
        <v>101</v>
      </c>
      <c r="C28" s="20"/>
      <c r="D28" s="20"/>
      <c r="E28" s="20"/>
      <c r="F28" s="20"/>
      <c r="G28" s="20"/>
      <c r="H28" s="20"/>
      <c r="I28" s="20"/>
      <c r="J28" s="20">
        <v>55.0</v>
      </c>
    </row>
    <row r="29" ht="15.75" customHeight="1">
      <c r="B29" s="20" t="s">
        <v>103</v>
      </c>
      <c r="C29" s="20"/>
      <c r="D29" s="20"/>
      <c r="E29" s="20"/>
      <c r="F29" s="20"/>
      <c r="G29" s="20"/>
      <c r="H29" s="20"/>
      <c r="I29" s="20"/>
      <c r="J29" s="20">
        <v>0.0</v>
      </c>
    </row>
    <row r="30" ht="15.75" customHeight="1">
      <c r="B30" s="20" t="s">
        <v>8</v>
      </c>
      <c r="C30" s="20"/>
      <c r="D30" s="20"/>
      <c r="E30" s="20"/>
      <c r="F30" s="20"/>
      <c r="G30" s="20"/>
      <c r="H30" s="20">
        <v>100.0</v>
      </c>
      <c r="I30" s="20"/>
      <c r="J30" s="20">
        <v>1560.0</v>
      </c>
    </row>
    <row r="31" ht="15.75" customHeight="1">
      <c r="B31" s="20" t="s">
        <v>7</v>
      </c>
      <c r="C31" s="20"/>
      <c r="D31" s="20"/>
      <c r="E31" s="20"/>
      <c r="F31" s="20"/>
      <c r="G31" s="20"/>
      <c r="H31" s="20"/>
      <c r="I31" s="20">
        <v>94.0</v>
      </c>
      <c r="J31" s="20">
        <v>500.0</v>
      </c>
    </row>
    <row r="32" ht="15.75" customHeight="1">
      <c r="B32" s="28" t="s">
        <v>127</v>
      </c>
      <c r="C32" s="28">
        <v>2760.0</v>
      </c>
      <c r="D32" s="28">
        <v>21.0</v>
      </c>
      <c r="E32" s="20"/>
      <c r="F32" s="28">
        <v>15.0</v>
      </c>
      <c r="G32" s="28">
        <v>6.0</v>
      </c>
      <c r="H32" s="28">
        <v>5.0</v>
      </c>
      <c r="I32" s="28">
        <v>5.5</v>
      </c>
      <c r="J32" s="28">
        <v>990.0</v>
      </c>
    </row>
    <row r="33" ht="15.75" customHeight="1">
      <c r="B33" s="20" t="s">
        <v>105</v>
      </c>
      <c r="C33" s="20">
        <v>2100.0</v>
      </c>
      <c r="D33" s="20">
        <v>42.0</v>
      </c>
      <c r="E33" s="20"/>
      <c r="F33" s="20"/>
      <c r="G33" s="20">
        <v>3.3</v>
      </c>
      <c r="H33" s="20"/>
      <c r="I33" s="20"/>
      <c r="J33" s="20">
        <v>596.0</v>
      </c>
    </row>
    <row r="34" ht="15.75" customHeight="1">
      <c r="B34" s="20" t="s">
        <v>128</v>
      </c>
      <c r="C34" s="20"/>
      <c r="D34" s="20"/>
      <c r="E34" s="20"/>
      <c r="F34" s="20"/>
      <c r="G34" s="20"/>
      <c r="H34" s="20"/>
      <c r="I34" s="20"/>
      <c r="J34" s="20">
        <v>0.0</v>
      </c>
    </row>
    <row r="35" ht="15.75" customHeight="1">
      <c r="B35" s="20" t="s">
        <v>129</v>
      </c>
      <c r="C35" s="20"/>
      <c r="D35" s="20"/>
      <c r="E35" s="20"/>
      <c r="F35" s="20"/>
      <c r="G35" s="20"/>
      <c r="H35" s="20"/>
      <c r="I35" s="20"/>
      <c r="J35" s="20">
        <v>480.0</v>
      </c>
    </row>
    <row r="36" ht="15.75" customHeight="1">
      <c r="B36" s="29" t="s">
        <v>130</v>
      </c>
      <c r="C36" s="29">
        <v>2650.0</v>
      </c>
      <c r="D36" s="29">
        <v>40.0</v>
      </c>
      <c r="E36" s="29">
        <v>95.0</v>
      </c>
      <c r="F36" s="29">
        <v>3.75</v>
      </c>
      <c r="G36" s="29">
        <v>0.8</v>
      </c>
      <c r="H36" s="29">
        <v>0.7</v>
      </c>
      <c r="I36" s="29">
        <v>3.45</v>
      </c>
      <c r="J36" s="29">
        <v>500.0</v>
      </c>
    </row>
    <row r="37" ht="15.75" customHeight="1">
      <c r="B37" s="30" t="s">
        <v>131</v>
      </c>
      <c r="C37" s="30"/>
      <c r="D37" s="30"/>
      <c r="E37" s="30"/>
      <c r="F37" s="30"/>
      <c r="G37" s="30"/>
      <c r="H37" s="30"/>
      <c r="I37" s="30"/>
      <c r="J37" s="30">
        <v>480.0</v>
      </c>
    </row>
    <row r="38" ht="15.75" customHeight="1">
      <c r="B38" s="30" t="s">
        <v>132</v>
      </c>
      <c r="C38" s="30"/>
      <c r="D38" s="30"/>
      <c r="E38" s="30"/>
      <c r="F38" s="30"/>
      <c r="G38" s="30"/>
      <c r="H38" s="30"/>
      <c r="I38" s="30"/>
      <c r="J38" s="30">
        <v>480.0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G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8.71"/>
    <col customWidth="1" min="4" max="26" width="8.71"/>
  </cols>
  <sheetData>
    <row r="2">
      <c r="D2" s="31" t="s">
        <v>133</v>
      </c>
    </row>
    <row r="4">
      <c r="C4" s="32"/>
      <c r="D4" s="33" t="s">
        <v>134</v>
      </c>
      <c r="E4" s="33" t="s">
        <v>135</v>
      </c>
      <c r="F4" s="33" t="s">
        <v>136</v>
      </c>
      <c r="G4" s="33" t="s">
        <v>137</v>
      </c>
      <c r="H4" s="33" t="s">
        <v>5</v>
      </c>
      <c r="I4" s="33" t="s">
        <v>138</v>
      </c>
      <c r="J4" s="33" t="s">
        <v>8</v>
      </c>
      <c r="K4" s="33" t="s">
        <v>7</v>
      </c>
      <c r="L4" s="33" t="s">
        <v>115</v>
      </c>
      <c r="M4" s="34"/>
      <c r="N4" s="35"/>
    </row>
    <row r="5">
      <c r="C5" s="36" t="s">
        <v>139</v>
      </c>
      <c r="D5" s="27" t="s">
        <v>117</v>
      </c>
      <c r="E5" s="27" t="s">
        <v>116</v>
      </c>
      <c r="F5" s="27" t="s">
        <v>117</v>
      </c>
      <c r="G5" s="27" t="s">
        <v>117</v>
      </c>
      <c r="H5" s="27" t="s">
        <v>117</v>
      </c>
      <c r="I5" s="27" t="s">
        <v>117</v>
      </c>
      <c r="J5" s="27" t="s">
        <v>117</v>
      </c>
      <c r="K5" s="27" t="s">
        <v>117</v>
      </c>
      <c r="L5" s="27" t="s">
        <v>140</v>
      </c>
      <c r="M5" s="37"/>
      <c r="N5" s="37"/>
    </row>
    <row r="6">
      <c r="C6" s="38"/>
      <c r="D6" s="39">
        <f>SUM(D8:D41)</f>
        <v>100</v>
      </c>
      <c r="E6" s="40">
        <f>E7/D6</f>
        <v>2957</v>
      </c>
      <c r="F6" s="40">
        <f>F7/D6</f>
        <v>21.4</v>
      </c>
      <c r="G6" s="40">
        <f>G7/D6</f>
        <v>0</v>
      </c>
      <c r="H6" s="40">
        <f>H7/D6</f>
        <v>0.8495</v>
      </c>
      <c r="I6" s="40">
        <f>I7/D6</f>
        <v>0.7035</v>
      </c>
      <c r="J6" s="40">
        <f>J7/D6</f>
        <v>0.374</v>
      </c>
      <c r="K6" s="40">
        <f>K7/D6</f>
        <v>1.4175</v>
      </c>
      <c r="L6" s="40">
        <f>L7/D6</f>
        <v>291</v>
      </c>
      <c r="M6" s="37">
        <f>L6*25</f>
        <v>7275</v>
      </c>
      <c r="N6" s="37"/>
    </row>
    <row r="7">
      <c r="C7" s="41"/>
      <c r="D7" s="41"/>
      <c r="E7" s="42">
        <f t="shared" ref="E7:L7" si="1">SUM(E8:E41)</f>
        <v>295700</v>
      </c>
      <c r="F7" s="42">
        <f t="shared" si="1"/>
        <v>2140</v>
      </c>
      <c r="G7" s="42">
        <f t="shared" si="1"/>
        <v>0</v>
      </c>
      <c r="H7" s="42">
        <f t="shared" si="1"/>
        <v>84.95</v>
      </c>
      <c r="I7" s="42">
        <f t="shared" si="1"/>
        <v>70.35</v>
      </c>
      <c r="J7" s="42">
        <f t="shared" si="1"/>
        <v>37.4</v>
      </c>
      <c r="K7" s="42">
        <f t="shared" si="1"/>
        <v>141.75</v>
      </c>
      <c r="L7" s="42">
        <f t="shared" si="1"/>
        <v>29100</v>
      </c>
      <c r="M7" s="37"/>
      <c r="N7" s="37"/>
    </row>
    <row r="8">
      <c r="C8" s="20" t="s">
        <v>63</v>
      </c>
      <c r="D8" s="43">
        <v>55.0</v>
      </c>
      <c r="E8" s="44">
        <f>D8*'Nutritional Intake'!C7</f>
        <v>187000</v>
      </c>
      <c r="F8" s="44">
        <f>D8*'Nutritional Intake'!D7</f>
        <v>495</v>
      </c>
      <c r="G8" s="42"/>
      <c r="H8" s="44">
        <f>D8*'Nutritional Intake'!F7</f>
        <v>0.55</v>
      </c>
      <c r="I8" s="44">
        <f>D8*'Nutritional Intake'!G7</f>
        <v>14.85</v>
      </c>
      <c r="J8" s="44">
        <f>D8*'Nutritional Intake'!H7</f>
        <v>9.9</v>
      </c>
      <c r="K8" s="44">
        <f>D8*'Nutritional Intake'!I7</f>
        <v>13.75</v>
      </c>
      <c r="L8" s="44">
        <f>D8*'Nutritional Intake'!J7</f>
        <v>12650</v>
      </c>
      <c r="M8" s="24"/>
      <c r="N8" s="45"/>
    </row>
    <row r="9">
      <c r="C9" s="20" t="s">
        <v>68</v>
      </c>
      <c r="D9" s="44"/>
      <c r="E9" s="44"/>
      <c r="F9" s="44">
        <v>0.0</v>
      </c>
      <c r="G9" s="42"/>
      <c r="H9" s="44">
        <f>D9*'Nutritional Intake'!F8</f>
        <v>0</v>
      </c>
      <c r="I9" s="44">
        <f>D9*'Nutritional Intake'!G8</f>
        <v>0</v>
      </c>
      <c r="J9" s="44">
        <f>D9*'Nutritional Intake'!H8</f>
        <v>0</v>
      </c>
      <c r="K9" s="44">
        <f>D9*'Nutritional Intake'!I8</f>
        <v>0</v>
      </c>
      <c r="L9" s="44">
        <f>D9*'Nutritional Intake'!J8</f>
        <v>0</v>
      </c>
      <c r="M9" s="24"/>
      <c r="N9" s="24"/>
    </row>
    <row r="10">
      <c r="C10" s="20" t="s">
        <v>72</v>
      </c>
      <c r="D10" s="43">
        <v>10.0</v>
      </c>
      <c r="E10" s="44">
        <f>D10*'Nutritional Intake'!C9</f>
        <v>18100</v>
      </c>
      <c r="F10" s="44">
        <f>D10*'Nutritional Intake'!D9</f>
        <v>160</v>
      </c>
      <c r="G10" s="42"/>
      <c r="H10" s="44">
        <f>D10*'Nutritional Intake'!F9</f>
        <v>1</v>
      </c>
      <c r="I10" s="44">
        <f>D10*'Nutritional Intake'!G9</f>
        <v>3</v>
      </c>
      <c r="J10" s="44">
        <f>D10*'Nutritional Intake'!H9</f>
        <v>2.5</v>
      </c>
      <c r="K10" s="44">
        <f>D10*'Nutritional Intake'!I9</f>
        <v>9</v>
      </c>
      <c r="L10" s="44">
        <f>D10*'Nutritional Intake'!J9</f>
        <v>1600</v>
      </c>
      <c r="M10" s="24"/>
      <c r="N10" s="46"/>
    </row>
    <row r="11">
      <c r="C11" s="20" t="s">
        <v>76</v>
      </c>
      <c r="D11" s="44"/>
      <c r="E11" s="44">
        <f>D11*'Nutritional Intake'!C10</f>
        <v>0</v>
      </c>
      <c r="F11" s="44">
        <f>D11*'Nutritional Intake'!D10</f>
        <v>0</v>
      </c>
      <c r="G11" s="42"/>
      <c r="H11" s="44">
        <f>D11*'Nutritional Intake'!F10</f>
        <v>0</v>
      </c>
      <c r="I11" s="44">
        <f>D11*'Nutritional Intake'!G10</f>
        <v>0</v>
      </c>
      <c r="J11" s="44">
        <f>D11*'Nutritional Intake'!H10</f>
        <v>0</v>
      </c>
      <c r="K11" s="44">
        <f>D11*'Nutritional Intake'!I10</f>
        <v>0</v>
      </c>
      <c r="L11" s="44">
        <f>D11*'Nutritional Intake'!J10</f>
        <v>0</v>
      </c>
      <c r="M11" s="24"/>
      <c r="N11" s="24"/>
    </row>
    <row r="12">
      <c r="C12" s="20" t="s">
        <v>79</v>
      </c>
      <c r="D12" s="44"/>
      <c r="E12" s="44">
        <f>D12*'Nutritional Intake'!C11</f>
        <v>0</v>
      </c>
      <c r="F12" s="44">
        <f>D12*'Nutritional Intake'!D11</f>
        <v>0</v>
      </c>
      <c r="G12" s="42"/>
      <c r="H12" s="44">
        <f>D12*'Nutritional Intake'!F11</f>
        <v>0</v>
      </c>
      <c r="I12" s="44">
        <f>D12*'Nutritional Intake'!G11</f>
        <v>0</v>
      </c>
      <c r="J12" s="44">
        <f>D12*'Nutritional Intake'!H11</f>
        <v>0</v>
      </c>
      <c r="K12" s="44">
        <f>D12*'Nutritional Intake'!I11</f>
        <v>0</v>
      </c>
      <c r="L12" s="44">
        <f>D12*'Nutritional Intake'!J11</f>
        <v>0</v>
      </c>
      <c r="M12" s="24"/>
      <c r="N12" s="24"/>
    </row>
    <row r="13">
      <c r="C13" s="20" t="s">
        <v>141</v>
      </c>
      <c r="D13" s="44"/>
      <c r="E13" s="44">
        <f>D13*'Nutritional Intake'!C12</f>
        <v>0</v>
      </c>
      <c r="F13" s="44">
        <f>D13*'Nutritional Intake'!D12</f>
        <v>0</v>
      </c>
      <c r="G13" s="42"/>
      <c r="H13" s="44">
        <f>D13*'Nutritional Intake'!F12</f>
        <v>0</v>
      </c>
      <c r="I13" s="44">
        <f>D13*'Nutritional Intake'!G12</f>
        <v>0</v>
      </c>
      <c r="J13" s="44">
        <f>D13*'Nutritional Intake'!H12</f>
        <v>0</v>
      </c>
      <c r="K13" s="44">
        <f>D13*'Nutritional Intake'!I12</f>
        <v>0</v>
      </c>
      <c r="L13" s="44">
        <f>D13*'Nutritional Intake'!J12</f>
        <v>0</v>
      </c>
      <c r="M13" s="24"/>
      <c r="N13" s="46"/>
    </row>
    <row r="14">
      <c r="C14" s="20" t="s">
        <v>81</v>
      </c>
      <c r="D14" s="44"/>
      <c r="E14" s="44">
        <f>D14*'Nutritional Intake'!C13</f>
        <v>0</v>
      </c>
      <c r="F14" s="44">
        <f>D14*'Nutritional Intake'!D13</f>
        <v>0</v>
      </c>
      <c r="G14" s="42"/>
      <c r="H14" s="44">
        <f>D14*'Nutritional Intake'!F13</f>
        <v>0</v>
      </c>
      <c r="I14" s="44">
        <f>D14*'Nutritional Intake'!G13</f>
        <v>0</v>
      </c>
      <c r="J14" s="44">
        <f>D14*'Nutritional Intake'!H13</f>
        <v>0</v>
      </c>
      <c r="K14" s="44">
        <f>D14*'Nutritional Intake'!I13</f>
        <v>0</v>
      </c>
      <c r="L14" s="44">
        <f>D14*'Nutritional Intake'!J13</f>
        <v>0</v>
      </c>
      <c r="M14" s="24"/>
      <c r="N14" s="24"/>
    </row>
    <row r="15">
      <c r="C15" s="20" t="s">
        <v>142</v>
      </c>
      <c r="D15" s="44"/>
      <c r="E15" s="44">
        <f>D15*'Nutritional Intake'!C14</f>
        <v>0</v>
      </c>
      <c r="F15" s="44">
        <f>D15*'Nutritional Intake'!D14</f>
        <v>0</v>
      </c>
      <c r="G15" s="42"/>
      <c r="H15" s="44">
        <f>D15*'Nutritional Intake'!F14</f>
        <v>0</v>
      </c>
      <c r="I15" s="44">
        <f>D15*'Nutritional Intake'!G14</f>
        <v>0</v>
      </c>
      <c r="J15" s="44">
        <f>D15*'Nutritional Intake'!H14</f>
        <v>0</v>
      </c>
      <c r="K15" s="44">
        <f>D15*'Nutritional Intake'!I14</f>
        <v>0</v>
      </c>
      <c r="L15" s="44">
        <f>D15*'Nutritional Intake'!J14</f>
        <v>0</v>
      </c>
      <c r="M15" s="24"/>
      <c r="N15" s="24"/>
    </row>
    <row r="16">
      <c r="C16" s="20" t="s">
        <v>143</v>
      </c>
      <c r="D16" s="44"/>
      <c r="E16" s="44">
        <f>D16*'Nutritional Intake'!C15</f>
        <v>0</v>
      </c>
      <c r="F16" s="44">
        <f>D16*'Nutritional Intake'!D15</f>
        <v>0</v>
      </c>
      <c r="G16" s="42"/>
      <c r="H16" s="44">
        <f>D16*'Nutritional Intake'!F15</f>
        <v>0</v>
      </c>
      <c r="I16" s="44">
        <f>D16*'Nutritional Intake'!G15</f>
        <v>0</v>
      </c>
      <c r="J16" s="44">
        <f>D16*'Nutritional Intake'!H15</f>
        <v>0</v>
      </c>
      <c r="K16" s="44">
        <f>D16*'Nutritional Intake'!I15</f>
        <v>0</v>
      </c>
      <c r="L16" s="44">
        <f>D16*'Nutritional Intake'!J15</f>
        <v>0</v>
      </c>
      <c r="M16" s="24"/>
      <c r="N16" s="24"/>
    </row>
    <row r="17">
      <c r="C17" s="20" t="s">
        <v>144</v>
      </c>
      <c r="D17" s="44"/>
      <c r="E17" s="44">
        <f>D17*'Nutritional Intake'!C16</f>
        <v>0</v>
      </c>
      <c r="F17" s="44">
        <f>D17*'Nutritional Intake'!D16</f>
        <v>0</v>
      </c>
      <c r="G17" s="42"/>
      <c r="H17" s="44">
        <f>D17*'Nutritional Intake'!F16</f>
        <v>0</v>
      </c>
      <c r="I17" s="44">
        <f>D17*'Nutritional Intake'!G16</f>
        <v>0</v>
      </c>
      <c r="J17" s="44">
        <f>D17*'Nutritional Intake'!H16</f>
        <v>0</v>
      </c>
      <c r="K17" s="44">
        <f>D17*'Nutritional Intake'!I16</f>
        <v>0</v>
      </c>
      <c r="L17" s="44">
        <f>D17*'Nutritional Intake'!J16</f>
        <v>0</v>
      </c>
      <c r="M17" s="24"/>
      <c r="N17" s="24"/>
    </row>
    <row r="18">
      <c r="C18" s="20" t="s">
        <v>121</v>
      </c>
      <c r="D18" s="43">
        <v>30.0</v>
      </c>
      <c r="E18" s="44">
        <f>D18*'Nutritional Intake'!C17</f>
        <v>76800</v>
      </c>
      <c r="F18" s="44">
        <f>D18*'Nutritional Intake'!D17</f>
        <v>1380</v>
      </c>
      <c r="G18" s="42"/>
      <c r="H18" s="44">
        <f>D18*'Nutritional Intake'!F17</f>
        <v>8.4</v>
      </c>
      <c r="I18" s="44">
        <f>D18*'Nutritional Intake'!G17</f>
        <v>22.5</v>
      </c>
      <c r="J18" s="44">
        <f>D18*'Nutritional Intake'!H17</f>
        <v>0</v>
      </c>
      <c r="K18" s="44">
        <f>D18*'Nutritional Intake'!I17</f>
        <v>91.5</v>
      </c>
      <c r="L18" s="44">
        <f>D18*'Nutritional Intake'!J17</f>
        <v>9900</v>
      </c>
      <c r="M18" s="24"/>
      <c r="N18" s="46"/>
    </row>
    <row r="19">
      <c r="C19" s="20" t="s">
        <v>145</v>
      </c>
      <c r="D19" s="44"/>
      <c r="E19" s="44">
        <f>D19*'Nutritional Intake'!C18</f>
        <v>0</v>
      </c>
      <c r="F19" s="44">
        <f>D19*'Nutritional Intake'!D18</f>
        <v>0</v>
      </c>
      <c r="G19" s="42"/>
      <c r="H19" s="44">
        <f>D19*'Nutritional Intake'!F18</f>
        <v>0</v>
      </c>
      <c r="I19" s="44">
        <f>D19*'Nutritional Intake'!G18</f>
        <v>0</v>
      </c>
      <c r="J19" s="44">
        <f>D19*'Nutritional Intake'!H18</f>
        <v>0</v>
      </c>
      <c r="K19" s="44">
        <f>D19*'Nutritional Intake'!I18</f>
        <v>0</v>
      </c>
      <c r="L19" s="44">
        <f>D19*'Nutritional Intake'!J18</f>
        <v>0</v>
      </c>
      <c r="M19" s="24"/>
      <c r="N19" s="24"/>
    </row>
    <row r="20">
      <c r="C20" s="20" t="s">
        <v>146</v>
      </c>
      <c r="D20" s="44"/>
      <c r="E20" s="44">
        <f>D20*'Nutritional Intake'!C19</f>
        <v>0</v>
      </c>
      <c r="F20" s="44">
        <f>D20*'Nutritional Intake'!D19</f>
        <v>0</v>
      </c>
      <c r="G20" s="42"/>
      <c r="H20" s="44">
        <f>D20*'Nutritional Intake'!F19</f>
        <v>0</v>
      </c>
      <c r="I20" s="44">
        <f>D20*'Nutritional Intake'!G19</f>
        <v>0</v>
      </c>
      <c r="J20" s="44">
        <f>D20*'Nutritional Intake'!H19</f>
        <v>0</v>
      </c>
      <c r="K20" s="44">
        <f>D20*'Nutritional Intake'!I19</f>
        <v>0</v>
      </c>
      <c r="L20" s="44">
        <f>D20*'Nutritional Intake'!J19</f>
        <v>0</v>
      </c>
      <c r="M20" s="24"/>
      <c r="N20" s="46"/>
    </row>
    <row r="21" ht="15.75" customHeight="1">
      <c r="C21" s="20" t="s">
        <v>147</v>
      </c>
      <c r="D21" s="44"/>
      <c r="E21" s="44">
        <f>D21*'Nutritional Intake'!C20</f>
        <v>0</v>
      </c>
      <c r="F21" s="44">
        <f>D21*'Nutritional Intake'!D20</f>
        <v>0</v>
      </c>
      <c r="G21" s="42"/>
      <c r="H21" s="44">
        <f>D21*'Nutritional Intake'!F20</f>
        <v>0</v>
      </c>
      <c r="I21" s="44">
        <f>D21*'Nutritional Intake'!G20</f>
        <v>0</v>
      </c>
      <c r="J21" s="44">
        <f>D21*'Nutritional Intake'!H20</f>
        <v>0</v>
      </c>
      <c r="K21" s="44">
        <f>D21*'Nutritional Intake'!I20</f>
        <v>0</v>
      </c>
      <c r="L21" s="44">
        <f>D21*'Nutritional Intake'!J20</f>
        <v>0</v>
      </c>
      <c r="M21" s="24"/>
      <c r="N21" s="46"/>
    </row>
    <row r="22" ht="15.75" customHeight="1">
      <c r="C22" s="20" t="s">
        <v>92</v>
      </c>
      <c r="D22" s="44"/>
      <c r="E22" s="44">
        <f>D22*'Nutritional Intake'!C21</f>
        <v>0</v>
      </c>
      <c r="F22" s="44">
        <f>D22*'Nutritional Intake'!D21</f>
        <v>0</v>
      </c>
      <c r="G22" s="42"/>
      <c r="H22" s="44">
        <f>D22*'Nutritional Intake'!F21</f>
        <v>0</v>
      </c>
      <c r="I22" s="44">
        <f>D22*'Nutritional Intake'!G21</f>
        <v>0</v>
      </c>
      <c r="J22" s="44">
        <f>D22*'Nutritional Intake'!H21</f>
        <v>0</v>
      </c>
      <c r="K22" s="44">
        <f>D22*'Nutritional Intake'!I21</f>
        <v>0</v>
      </c>
      <c r="L22" s="44">
        <f>D22*'Nutritional Intake'!J21</f>
        <v>0</v>
      </c>
      <c r="M22" s="24"/>
      <c r="N22" s="24"/>
    </row>
    <row r="23" ht="15.75" customHeight="1">
      <c r="C23" s="20" t="s">
        <v>124</v>
      </c>
      <c r="D23" s="44"/>
      <c r="E23" s="44">
        <f>D23*'Nutritional Intake'!C22</f>
        <v>0</v>
      </c>
      <c r="F23" s="44">
        <f>D23*'Nutritional Intake'!D22</f>
        <v>0</v>
      </c>
      <c r="G23" s="42"/>
      <c r="H23" s="44">
        <f>D23*'Nutritional Intake'!F22</f>
        <v>0</v>
      </c>
      <c r="I23" s="44">
        <f>D23*'Nutritional Intake'!G22</f>
        <v>0</v>
      </c>
      <c r="J23" s="44">
        <f>D23*'Nutritional Intake'!H22</f>
        <v>0</v>
      </c>
      <c r="K23" s="44">
        <f>D23*'Nutritional Intake'!I22</f>
        <v>0</v>
      </c>
      <c r="L23" s="44">
        <f>D23*'Nutritional Intake'!J22</f>
        <v>0</v>
      </c>
      <c r="M23" s="24"/>
      <c r="N23" s="24"/>
    </row>
    <row r="24" ht="15.75" customHeight="1">
      <c r="C24" s="20" t="s">
        <v>94</v>
      </c>
      <c r="D24" s="44"/>
      <c r="E24" s="44">
        <f>D24*'Nutritional Intake'!C23</f>
        <v>0</v>
      </c>
      <c r="F24" s="44">
        <f>D24*'Nutritional Intake'!D23</f>
        <v>0</v>
      </c>
      <c r="G24" s="42"/>
      <c r="H24" s="44">
        <f>D24*'Nutritional Intake'!F23</f>
        <v>0</v>
      </c>
      <c r="I24" s="44">
        <f>D24*'Nutritional Intake'!G23</f>
        <v>0</v>
      </c>
      <c r="J24" s="44">
        <f>D24*'Nutritional Intake'!H23</f>
        <v>0</v>
      </c>
      <c r="K24" s="44">
        <f>D24*'Nutritional Intake'!I23</f>
        <v>0</v>
      </c>
      <c r="L24" s="44">
        <f>D24*'Nutritional Intake'!J23</f>
        <v>0</v>
      </c>
      <c r="M24" s="24"/>
      <c r="N24" s="46"/>
    </row>
    <row r="25" ht="15.75" customHeight="1">
      <c r="C25" s="20" t="s">
        <v>96</v>
      </c>
      <c r="D25" s="44"/>
      <c r="E25" s="44">
        <f>D25*'Nutritional Intake'!C24</f>
        <v>0</v>
      </c>
      <c r="F25" s="44">
        <f>D25*'Nutritional Intake'!D24</f>
        <v>0</v>
      </c>
      <c r="G25" s="42"/>
      <c r="H25" s="44">
        <f>D25*'Nutritional Intake'!F24</f>
        <v>0</v>
      </c>
      <c r="I25" s="44">
        <f>D25*'Nutritional Intake'!G24</f>
        <v>0</v>
      </c>
      <c r="J25" s="44">
        <f>D25*'Nutritional Intake'!H24</f>
        <v>0</v>
      </c>
      <c r="K25" s="44">
        <f>D25*'Nutritional Intake'!I24</f>
        <v>0</v>
      </c>
      <c r="L25" s="44">
        <f>D25*'Nutritional Intake'!J24</f>
        <v>0</v>
      </c>
      <c r="M25" s="24"/>
      <c r="N25" s="24"/>
    </row>
    <row r="26" ht="15.75" customHeight="1">
      <c r="C26" s="20" t="s">
        <v>98</v>
      </c>
      <c r="D26" s="44"/>
      <c r="E26" s="44">
        <f>D26*'Nutritional Intake'!C25</f>
        <v>0</v>
      </c>
      <c r="F26" s="44">
        <f>D26*'Nutritional Intake'!D25</f>
        <v>0</v>
      </c>
      <c r="G26" s="42"/>
      <c r="H26" s="44">
        <f>D26*'Nutritional Intake'!F25</f>
        <v>0</v>
      </c>
      <c r="I26" s="44">
        <f>D26*'Nutritional Intake'!G25</f>
        <v>0</v>
      </c>
      <c r="J26" s="44">
        <f>D26*'Nutritional Intake'!H25</f>
        <v>0</v>
      </c>
      <c r="K26" s="44">
        <f>D26*'Nutritional Intake'!I25</f>
        <v>0</v>
      </c>
      <c r="L26" s="44">
        <f>D26*'Nutritional Intake'!J25</f>
        <v>0</v>
      </c>
      <c r="M26" s="24"/>
      <c r="N26" s="24"/>
    </row>
    <row r="27" ht="15.75" customHeight="1">
      <c r="C27" s="20" t="s">
        <v>148</v>
      </c>
      <c r="D27" s="44"/>
      <c r="E27" s="44">
        <f>D27*'Nutritional Intake'!C26</f>
        <v>0</v>
      </c>
      <c r="F27" s="44">
        <f>D27*'Nutritional Intake'!D26</f>
        <v>0</v>
      </c>
      <c r="G27" s="42"/>
      <c r="H27" s="44">
        <f>D27*'Nutritional Intake'!F26</f>
        <v>0</v>
      </c>
      <c r="I27" s="44">
        <f>D27*'Nutritional Intake'!G26</f>
        <v>0</v>
      </c>
      <c r="J27" s="44">
        <f>D27*'Nutritional Intake'!H26</f>
        <v>0</v>
      </c>
      <c r="K27" s="44">
        <f>D27*'Nutritional Intake'!I26</f>
        <v>0</v>
      </c>
      <c r="L27" s="44">
        <f>D27*'Nutritional Intake'!J26</f>
        <v>0</v>
      </c>
      <c r="M27" s="24"/>
      <c r="N27" s="46"/>
    </row>
    <row r="28" ht="15.75" customHeight="1">
      <c r="C28" s="20" t="s">
        <v>100</v>
      </c>
      <c r="D28" s="44"/>
      <c r="E28" s="44">
        <f>D28*'Nutritional Intake'!C27</f>
        <v>0</v>
      </c>
      <c r="F28" s="44">
        <f>D28*'Nutritional Intake'!D27</f>
        <v>0</v>
      </c>
      <c r="G28" s="42"/>
      <c r="H28" s="44">
        <f>D28*'Nutritional Intake'!F27</f>
        <v>0</v>
      </c>
      <c r="I28" s="44">
        <f>D28*'Nutritional Intake'!G27</f>
        <v>0</v>
      </c>
      <c r="J28" s="44">
        <f>D28*'Nutritional Intake'!H27</f>
        <v>0</v>
      </c>
      <c r="K28" s="44">
        <f>D28*'Nutritional Intake'!I27</f>
        <v>0</v>
      </c>
      <c r="L28" s="44">
        <f>D28*'Nutritional Intake'!J27</f>
        <v>0</v>
      </c>
      <c r="M28" s="24"/>
      <c r="N28" s="46"/>
    </row>
    <row r="29" ht="15.75" customHeight="1">
      <c r="C29" s="20" t="s">
        <v>101</v>
      </c>
      <c r="D29" s="44"/>
      <c r="E29" s="44">
        <f>D29*'Nutritional Intake'!C28</f>
        <v>0</v>
      </c>
      <c r="F29" s="44">
        <f>D29*'Nutritional Intake'!D28</f>
        <v>0</v>
      </c>
      <c r="G29" s="42"/>
      <c r="H29" s="44">
        <f>D29*'Nutritional Intake'!F28</f>
        <v>0</v>
      </c>
      <c r="I29" s="44">
        <f>D29*'Nutritional Intake'!G28</f>
        <v>0</v>
      </c>
      <c r="J29" s="44">
        <f>D29*'Nutritional Intake'!H28</f>
        <v>0</v>
      </c>
      <c r="K29" s="44">
        <f>D29*'Nutritional Intake'!I28</f>
        <v>0</v>
      </c>
      <c r="L29" s="44">
        <f>D29*'Nutritional Intake'!J28</f>
        <v>0</v>
      </c>
      <c r="M29" s="24"/>
      <c r="N29" s="46"/>
    </row>
    <row r="30" ht="15.75" customHeight="1">
      <c r="C30" s="20" t="s">
        <v>149</v>
      </c>
      <c r="D30" s="44"/>
      <c r="E30" s="44">
        <f>D30*'Nutritional Intake'!C29</f>
        <v>0</v>
      </c>
      <c r="F30" s="44">
        <f>D30*'Nutritional Intake'!D29</f>
        <v>0</v>
      </c>
      <c r="G30" s="42"/>
      <c r="H30" s="44">
        <f>D30*'Nutritional Intake'!F29</f>
        <v>0</v>
      </c>
      <c r="I30" s="44">
        <f>D30*'Nutritional Intake'!G29</f>
        <v>0</v>
      </c>
      <c r="J30" s="44">
        <f>D30*'Nutritional Intake'!H29</f>
        <v>0</v>
      </c>
      <c r="K30" s="44">
        <f>D30*'Nutritional Intake'!I29</f>
        <v>0</v>
      </c>
      <c r="L30" s="44">
        <f>D30*'Nutritional Intake'!J29</f>
        <v>0</v>
      </c>
      <c r="M30" s="24"/>
      <c r="N30" s="24"/>
    </row>
    <row r="31" ht="15.75" customHeight="1">
      <c r="C31" s="20" t="s">
        <v>8</v>
      </c>
      <c r="D31" s="44"/>
      <c r="E31" s="44">
        <f>D31*'Nutritional Intake'!C30</f>
        <v>0</v>
      </c>
      <c r="F31" s="44">
        <f>D31*'Nutritional Intake'!D30</f>
        <v>0</v>
      </c>
      <c r="G31" s="42"/>
      <c r="H31" s="44">
        <f>D31*'Nutritional Intake'!F30</f>
        <v>0</v>
      </c>
      <c r="I31" s="44">
        <f>D31*'Nutritional Intake'!G30</f>
        <v>0</v>
      </c>
      <c r="J31" s="44">
        <f>D31*'Nutritional Intake'!H30</f>
        <v>0</v>
      </c>
      <c r="K31" s="44">
        <f>D31*'Nutritional Intake'!I30</f>
        <v>0</v>
      </c>
      <c r="L31" s="44">
        <f>D31*'Nutritional Intake'!J30</f>
        <v>0</v>
      </c>
      <c r="M31" s="24"/>
      <c r="N31" s="46"/>
    </row>
    <row r="32" ht="15.75" customHeight="1">
      <c r="C32" s="20" t="s">
        <v>7</v>
      </c>
      <c r="D32" s="44"/>
      <c r="E32" s="44">
        <f>D32*'Nutritional Intake'!C31</f>
        <v>0</v>
      </c>
      <c r="F32" s="44">
        <f>D32*'Nutritional Intake'!D31</f>
        <v>0</v>
      </c>
      <c r="G32" s="42"/>
      <c r="H32" s="44">
        <f>D32*'Nutritional Intake'!F31</f>
        <v>0</v>
      </c>
      <c r="I32" s="44">
        <f>D32*'Nutritional Intake'!G31</f>
        <v>0</v>
      </c>
      <c r="J32" s="44">
        <f>D32*'Nutritional Intake'!H31</f>
        <v>0</v>
      </c>
      <c r="K32" s="44">
        <f>D32*'Nutritional Intake'!I31</f>
        <v>0</v>
      </c>
      <c r="L32" s="44">
        <f>D32*'Nutritional Intake'!J31</f>
        <v>0</v>
      </c>
      <c r="M32" s="24"/>
      <c r="N32" s="46"/>
    </row>
    <row r="33" ht="15.75" customHeight="1">
      <c r="C33" s="28" t="s">
        <v>150</v>
      </c>
      <c r="D33" s="43">
        <v>5.0</v>
      </c>
      <c r="E33" s="44">
        <f>D33*'Nutritional Intake'!C32</f>
        <v>13800</v>
      </c>
      <c r="F33" s="44">
        <f>D33*'Nutritional Intake'!D32</f>
        <v>105</v>
      </c>
      <c r="G33" s="42"/>
      <c r="H33" s="44">
        <f>D33*'Nutritional Intake'!F32</f>
        <v>75</v>
      </c>
      <c r="I33" s="44">
        <f>D33*'Nutritional Intake'!G32</f>
        <v>30</v>
      </c>
      <c r="J33" s="44">
        <f>D33*'Nutritional Intake'!H32</f>
        <v>25</v>
      </c>
      <c r="K33" s="44">
        <f>D33*'Nutritional Intake'!I32</f>
        <v>27.5</v>
      </c>
      <c r="L33" s="44">
        <f>D33*'Nutritional Intake'!J32</f>
        <v>4950</v>
      </c>
      <c r="M33" s="24"/>
      <c r="N33" s="24"/>
    </row>
    <row r="34" ht="15.75" customHeight="1">
      <c r="C34" s="20" t="s">
        <v>151</v>
      </c>
      <c r="D34" s="44"/>
      <c r="E34" s="44">
        <f>D34*'Nutritional Intake'!C33</f>
        <v>0</v>
      </c>
      <c r="F34" s="44">
        <f>D34*'Nutritional Intake'!D33</f>
        <v>0</v>
      </c>
      <c r="G34" s="42"/>
      <c r="H34" s="44">
        <f>D34*'Nutritional Intake'!F33</f>
        <v>0</v>
      </c>
      <c r="I34" s="44">
        <f>D34*'Nutritional Intake'!G33</f>
        <v>0</v>
      </c>
      <c r="J34" s="44">
        <f>D34*'Nutritional Intake'!H33</f>
        <v>0</v>
      </c>
      <c r="K34" s="44">
        <f>D34*'Nutritional Intake'!I33</f>
        <v>0</v>
      </c>
      <c r="L34" s="44">
        <f>D34*'Nutritional Intake'!J33</f>
        <v>0</v>
      </c>
      <c r="M34" s="24"/>
      <c r="N34" s="46"/>
    </row>
    <row r="35" ht="15.75" customHeight="1">
      <c r="C35" s="20" t="s">
        <v>152</v>
      </c>
      <c r="D35" s="44"/>
      <c r="E35" s="44">
        <f>D35*'Nutritional Intake'!C34</f>
        <v>0</v>
      </c>
      <c r="F35" s="44">
        <f>D35*'Nutritional Intake'!D34</f>
        <v>0</v>
      </c>
      <c r="G35" s="42"/>
      <c r="H35" s="44">
        <f>D35*'Nutritional Intake'!F34</f>
        <v>0</v>
      </c>
      <c r="I35" s="44">
        <f>D35*'Nutritional Intake'!G34</f>
        <v>0</v>
      </c>
      <c r="J35" s="44">
        <f>D35*'Nutritional Intake'!H34</f>
        <v>0</v>
      </c>
      <c r="K35" s="44">
        <f>D35*'Nutritional Intake'!I34</f>
        <v>0</v>
      </c>
      <c r="L35" s="44">
        <f>D35*'Nutritional Intake'!J34</f>
        <v>0</v>
      </c>
      <c r="M35" s="24"/>
      <c r="N35" s="24"/>
    </row>
    <row r="36" ht="15.75" customHeight="1">
      <c r="C36" s="20" t="s">
        <v>153</v>
      </c>
      <c r="D36" s="44"/>
      <c r="E36" s="44">
        <f>D36*'Nutritional Intake'!C35</f>
        <v>0</v>
      </c>
      <c r="F36" s="44">
        <f>D36*'Nutritional Intake'!D35</f>
        <v>0</v>
      </c>
      <c r="G36" s="42"/>
      <c r="H36" s="44">
        <f>D36*'Nutritional Intake'!F35</f>
        <v>0</v>
      </c>
      <c r="I36" s="44">
        <f>D36*'Nutritional Intake'!G35</f>
        <v>0</v>
      </c>
      <c r="J36" s="44">
        <f>D36*'Nutritional Intake'!H35</f>
        <v>0</v>
      </c>
      <c r="K36" s="44">
        <f>D36*'Nutritional Intake'!I35</f>
        <v>0</v>
      </c>
      <c r="L36" s="44">
        <f>D36*'Nutritional Intake'!J35</f>
        <v>0</v>
      </c>
      <c r="M36" s="24"/>
      <c r="N36" s="46"/>
    </row>
    <row r="37" ht="15.75" customHeight="1">
      <c r="C37" s="29" t="s">
        <v>154</v>
      </c>
      <c r="D37" s="47"/>
      <c r="E37" s="44">
        <f>D37*'Nutritional Intake'!C36</f>
        <v>0</v>
      </c>
      <c r="F37" s="44">
        <f>D37*'Nutritional Intake'!D36</f>
        <v>0</v>
      </c>
      <c r="G37" s="42"/>
      <c r="H37" s="44">
        <f>D37*'Nutritional Intake'!F36</f>
        <v>0</v>
      </c>
      <c r="I37" s="44">
        <f>D37*'Nutritional Intake'!G36</f>
        <v>0</v>
      </c>
      <c r="J37" s="44">
        <f>D37*'Nutritional Intake'!H36</f>
        <v>0</v>
      </c>
      <c r="K37" s="44">
        <f>D37*'Nutritional Intake'!I36</f>
        <v>0</v>
      </c>
      <c r="L37" s="44">
        <f>D37*'Nutritional Intake'!J36</f>
        <v>0</v>
      </c>
      <c r="M37" s="24"/>
      <c r="N37" s="48"/>
    </row>
    <row r="38" ht="15.75" customHeight="1">
      <c r="C38" s="30" t="s">
        <v>155</v>
      </c>
      <c r="D38" s="49"/>
      <c r="E38" s="44">
        <f>D38*'Nutritional Intake'!C37</f>
        <v>0</v>
      </c>
      <c r="F38" s="44">
        <f>D38*'Nutritional Intake'!D37</f>
        <v>0</v>
      </c>
      <c r="G38" s="42"/>
      <c r="H38" s="44">
        <f>D38*'Nutritional Intake'!F37</f>
        <v>0</v>
      </c>
      <c r="I38" s="44">
        <f>D38*'Nutritional Intake'!G37</f>
        <v>0</v>
      </c>
      <c r="J38" s="44">
        <f>D38*'Nutritional Intake'!H37</f>
        <v>0</v>
      </c>
      <c r="K38" s="44">
        <f>D38*'Nutritional Intake'!I37</f>
        <v>0</v>
      </c>
      <c r="L38" s="44">
        <f>D38*'Nutritional Intake'!J37</f>
        <v>0</v>
      </c>
      <c r="M38" s="24"/>
      <c r="N38" s="46"/>
    </row>
    <row r="39" ht="15.75" customHeight="1">
      <c r="C39" s="50" t="s">
        <v>156</v>
      </c>
      <c r="D39" s="49"/>
      <c r="E39" s="44">
        <f>D39*'Nutritional Intake'!C38</f>
        <v>0</v>
      </c>
      <c r="F39" s="44">
        <f>D39*'Nutritional Intake'!D38</f>
        <v>0</v>
      </c>
      <c r="G39" s="42"/>
      <c r="H39" s="44">
        <f>D39*'Nutritional Intake'!F38</f>
        <v>0</v>
      </c>
      <c r="I39" s="44">
        <f>D39*'Nutritional Intake'!G38</f>
        <v>0</v>
      </c>
      <c r="J39" s="44">
        <f>D39*'Nutritional Intake'!H38</f>
        <v>0</v>
      </c>
      <c r="K39" s="44">
        <f>D39*'Nutritional Intake'!I38</f>
        <v>0</v>
      </c>
      <c r="L39" s="44">
        <f>D39*'Nutritional Intake'!J38</f>
        <v>0</v>
      </c>
      <c r="M39" s="24"/>
      <c r="N39" s="46"/>
    </row>
    <row r="40" ht="15.75" customHeight="1">
      <c r="C40" s="50" t="s">
        <v>157</v>
      </c>
      <c r="D40" s="49"/>
      <c r="E40" s="44">
        <f>D40*'Nutritional Intake'!C39</f>
        <v>0</v>
      </c>
      <c r="F40" s="44">
        <f>D40*'Nutritional Intake'!D39</f>
        <v>0</v>
      </c>
      <c r="G40" s="42"/>
      <c r="H40" s="44">
        <f>D40*'Nutritional Intake'!F39</f>
        <v>0</v>
      </c>
      <c r="I40" s="44">
        <f>D40*'Nutritional Intake'!G39</f>
        <v>0</v>
      </c>
      <c r="J40" s="44">
        <f>D40*'Nutritional Intake'!H39</f>
        <v>0</v>
      </c>
      <c r="K40" s="44">
        <f>D40*'Nutritional Intake'!I39</f>
        <v>0</v>
      </c>
      <c r="L40" s="44">
        <f>D40*'Nutritional Intake'!J39</f>
        <v>0</v>
      </c>
      <c r="M40" s="24"/>
      <c r="N40" s="46"/>
    </row>
    <row r="41" ht="15.75" customHeight="1">
      <c r="C41" s="30" t="s">
        <v>158</v>
      </c>
      <c r="D41" s="49"/>
      <c r="E41" s="44">
        <f>D41*'Nutritional Intake'!C40</f>
        <v>0</v>
      </c>
      <c r="F41" s="44">
        <f>D41*'Nutritional Intake'!D40</f>
        <v>0</v>
      </c>
      <c r="G41" s="42"/>
      <c r="H41" s="44">
        <f>D41*'Nutritional Intake'!F40</f>
        <v>0</v>
      </c>
      <c r="I41" s="44">
        <f>D41*'Nutritional Intake'!G40</f>
        <v>0</v>
      </c>
      <c r="J41" s="44">
        <f>D41*'Nutritional Intake'!H40</f>
        <v>0</v>
      </c>
      <c r="K41" s="44">
        <f>D41*'Nutritional Intake'!I40</f>
        <v>0</v>
      </c>
      <c r="L41" s="44">
        <f>D41*'Nutritional Intake'!J40</f>
        <v>0</v>
      </c>
      <c r="M41" s="24"/>
      <c r="N41" s="46"/>
    </row>
    <row r="42" ht="15.75" customHeight="1">
      <c r="C42" s="24"/>
      <c r="D42" s="51"/>
      <c r="E42" s="51"/>
      <c r="F42" s="51"/>
      <c r="G42" s="51"/>
      <c r="H42" s="51"/>
      <c r="I42" s="51"/>
      <c r="J42" s="51"/>
      <c r="K42" s="51"/>
      <c r="L42" s="51"/>
      <c r="M42" s="24"/>
      <c r="N42" s="5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5:C7"/>
    <mergeCell ref="D6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8.71"/>
    <col customWidth="1" min="4" max="26" width="8.71"/>
  </cols>
  <sheetData>
    <row r="2">
      <c r="D2" s="31" t="s">
        <v>133</v>
      </c>
    </row>
    <row r="4">
      <c r="C4" s="32"/>
      <c r="D4" s="33" t="s">
        <v>134</v>
      </c>
      <c r="E4" s="33" t="s">
        <v>135</v>
      </c>
      <c r="F4" s="33" t="s">
        <v>136</v>
      </c>
      <c r="G4" s="33" t="s">
        <v>137</v>
      </c>
      <c r="H4" s="33" t="s">
        <v>5</v>
      </c>
      <c r="I4" s="33" t="s">
        <v>138</v>
      </c>
      <c r="J4" s="33" t="s">
        <v>8</v>
      </c>
      <c r="K4" s="33" t="s">
        <v>7</v>
      </c>
      <c r="L4" s="33" t="s">
        <v>115</v>
      </c>
      <c r="M4" s="34"/>
      <c r="N4" s="35"/>
    </row>
    <row r="5">
      <c r="C5" s="36" t="s">
        <v>139</v>
      </c>
      <c r="D5" s="27" t="s">
        <v>117</v>
      </c>
      <c r="E5" s="27" t="s">
        <v>116</v>
      </c>
      <c r="F5" s="27" t="s">
        <v>117</v>
      </c>
      <c r="G5" s="27" t="s">
        <v>117</v>
      </c>
      <c r="H5" s="27" t="s">
        <v>117</v>
      </c>
      <c r="I5" s="27" t="s">
        <v>117</v>
      </c>
      <c r="J5" s="27" t="s">
        <v>117</v>
      </c>
      <c r="K5" s="27" t="s">
        <v>117</v>
      </c>
      <c r="L5" s="27" t="s">
        <v>140</v>
      </c>
      <c r="M5" s="37"/>
      <c r="N5" s="37"/>
    </row>
    <row r="6">
      <c r="C6" s="38"/>
      <c r="D6" s="39">
        <f>SUM(D8:D41)</f>
        <v>100</v>
      </c>
      <c r="E6" s="40">
        <f>E7/D6</f>
        <v>2834.3</v>
      </c>
      <c r="F6" s="40">
        <f>F7/D6</f>
        <v>18.61</v>
      </c>
      <c r="G6" s="40">
        <f>G7/D6</f>
        <v>0</v>
      </c>
      <c r="H6" s="40">
        <f>H7/D6</f>
        <v>0.8342</v>
      </c>
      <c r="I6" s="40">
        <f>I7/D6</f>
        <v>0.6594</v>
      </c>
      <c r="J6" s="40">
        <f>J7/D6</f>
        <v>0.4011</v>
      </c>
      <c r="K6" s="40">
        <f>K7/D6</f>
        <v>1.222</v>
      </c>
      <c r="L6" s="40">
        <f>L7/D6</f>
        <v>271.9</v>
      </c>
      <c r="M6" s="37">
        <f>L6*25</f>
        <v>6797.5</v>
      </c>
      <c r="N6" s="37"/>
    </row>
    <row r="7">
      <c r="C7" s="41"/>
      <c r="D7" s="41"/>
      <c r="E7" s="42">
        <f t="shared" ref="E7:L7" si="1">SUM(E8:E41)</f>
        <v>283430</v>
      </c>
      <c r="F7" s="42">
        <f t="shared" si="1"/>
        <v>1861</v>
      </c>
      <c r="G7" s="42">
        <f t="shared" si="1"/>
        <v>0</v>
      </c>
      <c r="H7" s="42">
        <f t="shared" si="1"/>
        <v>83.42</v>
      </c>
      <c r="I7" s="42">
        <f t="shared" si="1"/>
        <v>65.94</v>
      </c>
      <c r="J7" s="42">
        <f t="shared" si="1"/>
        <v>40.11</v>
      </c>
      <c r="K7" s="42">
        <f t="shared" si="1"/>
        <v>122.2</v>
      </c>
      <c r="L7" s="42">
        <f t="shared" si="1"/>
        <v>27190</v>
      </c>
      <c r="M7" s="37"/>
      <c r="N7" s="37"/>
    </row>
    <row r="8">
      <c r="C8" s="20" t="s">
        <v>63</v>
      </c>
      <c r="D8" s="43">
        <v>52.0</v>
      </c>
      <c r="E8" s="44">
        <f>D8*'Nutritional Intake'!C7</f>
        <v>176800</v>
      </c>
      <c r="F8" s="44">
        <f>D8*'Nutritional Intake'!D7</f>
        <v>468</v>
      </c>
      <c r="G8" s="42"/>
      <c r="H8" s="44">
        <f>D8*'Nutritional Intake'!F7</f>
        <v>0.52</v>
      </c>
      <c r="I8" s="44">
        <f>D8*'Nutritional Intake'!G7</f>
        <v>14.04</v>
      </c>
      <c r="J8" s="44">
        <f>D8*'Nutritional Intake'!H7</f>
        <v>9.36</v>
      </c>
      <c r="K8" s="44">
        <f>D8*'Nutritional Intake'!I7</f>
        <v>13</v>
      </c>
      <c r="L8" s="44">
        <f>D8*'Nutritional Intake'!J7</f>
        <v>11960</v>
      </c>
      <c r="M8" s="24"/>
      <c r="N8" s="45"/>
    </row>
    <row r="9">
      <c r="C9" s="20" t="s">
        <v>68</v>
      </c>
      <c r="D9" s="43"/>
      <c r="E9" s="44"/>
      <c r="F9" s="44">
        <v>0.0</v>
      </c>
      <c r="G9" s="42"/>
      <c r="H9" s="44">
        <f>D9*'Nutritional Intake'!F8</f>
        <v>0</v>
      </c>
      <c r="I9" s="44">
        <f>D9*'Nutritional Intake'!G8</f>
        <v>0</v>
      </c>
      <c r="J9" s="44">
        <f>D9*'Nutritional Intake'!H8</f>
        <v>0</v>
      </c>
      <c r="K9" s="44">
        <f>D9*'Nutritional Intake'!I8</f>
        <v>0</v>
      </c>
      <c r="L9" s="44">
        <f>D9*'Nutritional Intake'!J8</f>
        <v>0</v>
      </c>
      <c r="M9" s="24"/>
      <c r="N9" s="24"/>
    </row>
    <row r="10">
      <c r="C10" s="20" t="s">
        <v>72</v>
      </c>
      <c r="D10" s="43">
        <v>23.0</v>
      </c>
      <c r="E10" s="44">
        <f>D10*'Nutritional Intake'!C9</f>
        <v>41630</v>
      </c>
      <c r="F10" s="44">
        <f>D10*'Nutritional Intake'!D9</f>
        <v>368</v>
      </c>
      <c r="G10" s="42"/>
      <c r="H10" s="44">
        <f>D10*'Nutritional Intake'!F9</f>
        <v>2.3</v>
      </c>
      <c r="I10" s="44">
        <f>D10*'Nutritional Intake'!G9</f>
        <v>6.9</v>
      </c>
      <c r="J10" s="44">
        <f>D10*'Nutritional Intake'!H9</f>
        <v>5.75</v>
      </c>
      <c r="K10" s="44">
        <f>D10*'Nutritional Intake'!I9</f>
        <v>20.7</v>
      </c>
      <c r="L10" s="44">
        <f>D10*'Nutritional Intake'!J9</f>
        <v>3680</v>
      </c>
      <c r="M10" s="24"/>
      <c r="N10" s="46"/>
    </row>
    <row r="11">
      <c r="C11" s="20" t="s">
        <v>76</v>
      </c>
      <c r="D11" s="44"/>
      <c r="E11" s="44">
        <f>D11*'Nutritional Intake'!C10</f>
        <v>0</v>
      </c>
      <c r="F11" s="44">
        <f>D11*'Nutritional Intake'!D10</f>
        <v>0</v>
      </c>
      <c r="G11" s="42"/>
      <c r="H11" s="44">
        <f>D11*'Nutritional Intake'!F10</f>
        <v>0</v>
      </c>
      <c r="I11" s="44">
        <f>D11*'Nutritional Intake'!G10</f>
        <v>0</v>
      </c>
      <c r="J11" s="44">
        <f>D11*'Nutritional Intake'!H10</f>
        <v>0</v>
      </c>
      <c r="K11" s="44">
        <f>D11*'Nutritional Intake'!I10</f>
        <v>0</v>
      </c>
      <c r="L11" s="44">
        <f>D11*'Nutritional Intake'!J10</f>
        <v>0</v>
      </c>
      <c r="M11" s="24"/>
      <c r="N11" s="24"/>
    </row>
    <row r="12">
      <c r="C12" s="20" t="s">
        <v>79</v>
      </c>
      <c r="D12" s="44"/>
      <c r="E12" s="44">
        <f>D12*'Nutritional Intake'!C11</f>
        <v>0</v>
      </c>
      <c r="F12" s="44">
        <f>D12*'Nutritional Intake'!D11</f>
        <v>0</v>
      </c>
      <c r="G12" s="42"/>
      <c r="H12" s="44">
        <f>D12*'Nutritional Intake'!F11</f>
        <v>0</v>
      </c>
      <c r="I12" s="44">
        <f>D12*'Nutritional Intake'!G11</f>
        <v>0</v>
      </c>
      <c r="J12" s="44">
        <f>D12*'Nutritional Intake'!H11</f>
        <v>0</v>
      </c>
      <c r="K12" s="44">
        <f>D12*'Nutritional Intake'!I11</f>
        <v>0</v>
      </c>
      <c r="L12" s="44">
        <f>D12*'Nutritional Intake'!J11</f>
        <v>0</v>
      </c>
      <c r="M12" s="24"/>
      <c r="N12" s="24"/>
    </row>
    <row r="13">
      <c r="C13" s="20" t="s">
        <v>141</v>
      </c>
      <c r="D13" s="44"/>
      <c r="E13" s="44">
        <f>D13*'Nutritional Intake'!C12</f>
        <v>0</v>
      </c>
      <c r="F13" s="44">
        <f>D13*'Nutritional Intake'!D12</f>
        <v>0</v>
      </c>
      <c r="G13" s="42"/>
      <c r="H13" s="44">
        <f>D13*'Nutritional Intake'!F12</f>
        <v>0</v>
      </c>
      <c r="I13" s="44">
        <f>D13*'Nutritional Intake'!G12</f>
        <v>0</v>
      </c>
      <c r="J13" s="44">
        <f>D13*'Nutritional Intake'!H12</f>
        <v>0</v>
      </c>
      <c r="K13" s="44">
        <f>D13*'Nutritional Intake'!I12</f>
        <v>0</v>
      </c>
      <c r="L13" s="44">
        <f>D13*'Nutritional Intake'!J12</f>
        <v>0</v>
      </c>
      <c r="M13" s="24"/>
      <c r="N13" s="46"/>
    </row>
    <row r="14">
      <c r="C14" s="20" t="s">
        <v>81</v>
      </c>
      <c r="D14" s="44"/>
      <c r="E14" s="44">
        <f>D14*'Nutritional Intake'!C13</f>
        <v>0</v>
      </c>
      <c r="F14" s="44">
        <f>D14*'Nutritional Intake'!D13</f>
        <v>0</v>
      </c>
      <c r="G14" s="42"/>
      <c r="H14" s="44">
        <f>D14*'Nutritional Intake'!F13</f>
        <v>0</v>
      </c>
      <c r="I14" s="44">
        <f>D14*'Nutritional Intake'!G13</f>
        <v>0</v>
      </c>
      <c r="J14" s="44">
        <f>D14*'Nutritional Intake'!H13</f>
        <v>0</v>
      </c>
      <c r="K14" s="44">
        <f>D14*'Nutritional Intake'!I13</f>
        <v>0</v>
      </c>
      <c r="L14" s="44">
        <f>D14*'Nutritional Intake'!J13</f>
        <v>0</v>
      </c>
      <c r="M14" s="24"/>
      <c r="N14" s="24"/>
    </row>
    <row r="15">
      <c r="C15" s="20" t="s">
        <v>142</v>
      </c>
      <c r="D15" s="44"/>
      <c r="E15" s="44">
        <f>D15*'Nutritional Intake'!C14</f>
        <v>0</v>
      </c>
      <c r="F15" s="44">
        <f>D15*'Nutritional Intake'!D14</f>
        <v>0</v>
      </c>
      <c r="G15" s="42"/>
      <c r="H15" s="44">
        <f>D15*'Nutritional Intake'!F14</f>
        <v>0</v>
      </c>
      <c r="I15" s="44">
        <f>D15*'Nutritional Intake'!G14</f>
        <v>0</v>
      </c>
      <c r="J15" s="44">
        <f>D15*'Nutritional Intake'!H14</f>
        <v>0</v>
      </c>
      <c r="K15" s="44">
        <f>D15*'Nutritional Intake'!I14</f>
        <v>0</v>
      </c>
      <c r="L15" s="44">
        <f>D15*'Nutritional Intake'!J14</f>
        <v>0</v>
      </c>
      <c r="M15" s="24"/>
      <c r="N15" s="24"/>
    </row>
    <row r="16">
      <c r="C16" s="20" t="s">
        <v>143</v>
      </c>
      <c r="D16" s="44"/>
      <c r="E16" s="44">
        <f>D16*'Nutritional Intake'!C15</f>
        <v>0</v>
      </c>
      <c r="F16" s="44">
        <f>D16*'Nutritional Intake'!D15</f>
        <v>0</v>
      </c>
      <c r="G16" s="42"/>
      <c r="H16" s="44">
        <f>D16*'Nutritional Intake'!F15</f>
        <v>0</v>
      </c>
      <c r="I16" s="44">
        <f>D16*'Nutritional Intake'!G15</f>
        <v>0</v>
      </c>
      <c r="J16" s="44">
        <f>D16*'Nutritional Intake'!H15</f>
        <v>0</v>
      </c>
      <c r="K16" s="44">
        <f>D16*'Nutritional Intake'!I15</f>
        <v>0</v>
      </c>
      <c r="L16" s="44">
        <f>D16*'Nutritional Intake'!J15</f>
        <v>0</v>
      </c>
      <c r="M16" s="24"/>
      <c r="N16" s="24"/>
    </row>
    <row r="17">
      <c r="C17" s="20" t="s">
        <v>144</v>
      </c>
      <c r="D17" s="44"/>
      <c r="E17" s="44">
        <f>D17*'Nutritional Intake'!C16</f>
        <v>0</v>
      </c>
      <c r="F17" s="44">
        <f>D17*'Nutritional Intake'!D16</f>
        <v>0</v>
      </c>
      <c r="G17" s="42"/>
      <c r="H17" s="44">
        <f>D17*'Nutritional Intake'!F16</f>
        <v>0</v>
      </c>
      <c r="I17" s="44">
        <f>D17*'Nutritional Intake'!G16</f>
        <v>0</v>
      </c>
      <c r="J17" s="44">
        <f>D17*'Nutritional Intake'!H16</f>
        <v>0</v>
      </c>
      <c r="K17" s="44">
        <f>D17*'Nutritional Intake'!I16</f>
        <v>0</v>
      </c>
      <c r="L17" s="44">
        <f>D17*'Nutritional Intake'!J16</f>
        <v>0</v>
      </c>
      <c r="M17" s="24"/>
      <c r="N17" s="24"/>
    </row>
    <row r="18">
      <c r="C18" s="20" t="s">
        <v>121</v>
      </c>
      <c r="D18" s="43">
        <v>20.0</v>
      </c>
      <c r="E18" s="44">
        <f>D18*'Nutritional Intake'!C17</f>
        <v>51200</v>
      </c>
      <c r="F18" s="44">
        <f>D18*'Nutritional Intake'!D17</f>
        <v>920</v>
      </c>
      <c r="G18" s="42"/>
      <c r="H18" s="44">
        <f>D18*'Nutritional Intake'!F17</f>
        <v>5.6</v>
      </c>
      <c r="I18" s="44">
        <f>D18*'Nutritional Intake'!G17</f>
        <v>15</v>
      </c>
      <c r="J18" s="44">
        <f>D18*'Nutritional Intake'!H17</f>
        <v>0</v>
      </c>
      <c r="K18" s="44">
        <f>D18*'Nutritional Intake'!I17</f>
        <v>61</v>
      </c>
      <c r="L18" s="44">
        <f>D18*'Nutritional Intake'!J17</f>
        <v>6600</v>
      </c>
      <c r="M18" s="24"/>
      <c r="N18" s="46"/>
    </row>
    <row r="19">
      <c r="C19" s="20" t="s">
        <v>145</v>
      </c>
      <c r="D19" s="44"/>
      <c r="E19" s="44">
        <f>D19*'Nutritional Intake'!C18</f>
        <v>0</v>
      </c>
      <c r="F19" s="44">
        <f>D19*'Nutritional Intake'!D18</f>
        <v>0</v>
      </c>
      <c r="G19" s="42"/>
      <c r="H19" s="44">
        <f>D19*'Nutritional Intake'!F18</f>
        <v>0</v>
      </c>
      <c r="I19" s="44">
        <f>D19*'Nutritional Intake'!G18</f>
        <v>0</v>
      </c>
      <c r="J19" s="44">
        <f>D19*'Nutritional Intake'!H18</f>
        <v>0</v>
      </c>
      <c r="K19" s="44">
        <f>D19*'Nutritional Intake'!I18</f>
        <v>0</v>
      </c>
      <c r="L19" s="44">
        <f>D19*'Nutritional Intake'!J18</f>
        <v>0</v>
      </c>
      <c r="M19" s="24"/>
      <c r="N19" s="24"/>
    </row>
    <row r="20">
      <c r="C20" s="20" t="s">
        <v>146</v>
      </c>
      <c r="D20" s="44"/>
      <c r="E20" s="44">
        <f>D20*'Nutritional Intake'!C19</f>
        <v>0</v>
      </c>
      <c r="F20" s="44">
        <f>D20*'Nutritional Intake'!D19</f>
        <v>0</v>
      </c>
      <c r="G20" s="42"/>
      <c r="H20" s="44">
        <f>D20*'Nutritional Intake'!F19</f>
        <v>0</v>
      </c>
      <c r="I20" s="44">
        <f>D20*'Nutritional Intake'!G19</f>
        <v>0</v>
      </c>
      <c r="J20" s="44">
        <f>D20*'Nutritional Intake'!H19</f>
        <v>0</v>
      </c>
      <c r="K20" s="44">
        <f>D20*'Nutritional Intake'!I19</f>
        <v>0</v>
      </c>
      <c r="L20" s="44">
        <f>D20*'Nutritional Intake'!J19</f>
        <v>0</v>
      </c>
      <c r="M20" s="24"/>
      <c r="N20" s="46"/>
    </row>
    <row r="21" ht="15.75" customHeight="1">
      <c r="C21" s="20" t="s">
        <v>147</v>
      </c>
      <c r="D21" s="44"/>
      <c r="E21" s="44">
        <f>D21*'Nutritional Intake'!C20</f>
        <v>0</v>
      </c>
      <c r="F21" s="44">
        <f>D21*'Nutritional Intake'!D20</f>
        <v>0</v>
      </c>
      <c r="G21" s="42"/>
      <c r="H21" s="44">
        <f>D21*'Nutritional Intake'!F20</f>
        <v>0</v>
      </c>
      <c r="I21" s="44">
        <f>D21*'Nutritional Intake'!G20</f>
        <v>0</v>
      </c>
      <c r="J21" s="44">
        <f>D21*'Nutritional Intake'!H20</f>
        <v>0</v>
      </c>
      <c r="K21" s="44">
        <f>D21*'Nutritional Intake'!I20</f>
        <v>0</v>
      </c>
      <c r="L21" s="44">
        <f>D21*'Nutritional Intake'!J20</f>
        <v>0</v>
      </c>
      <c r="M21" s="24"/>
      <c r="N21" s="46"/>
    </row>
    <row r="22" ht="15.75" customHeight="1">
      <c r="C22" s="20" t="s">
        <v>92</v>
      </c>
      <c r="D22" s="44"/>
      <c r="E22" s="44">
        <f>D22*'Nutritional Intake'!C21</f>
        <v>0</v>
      </c>
      <c r="F22" s="44">
        <f>D22*'Nutritional Intake'!D21</f>
        <v>0</v>
      </c>
      <c r="G22" s="42"/>
      <c r="H22" s="44">
        <f>D22*'Nutritional Intake'!F21</f>
        <v>0</v>
      </c>
      <c r="I22" s="44">
        <f>D22*'Nutritional Intake'!G21</f>
        <v>0</v>
      </c>
      <c r="J22" s="44">
        <f>D22*'Nutritional Intake'!H21</f>
        <v>0</v>
      </c>
      <c r="K22" s="44">
        <f>D22*'Nutritional Intake'!I21</f>
        <v>0</v>
      </c>
      <c r="L22" s="44">
        <f>D22*'Nutritional Intake'!J21</f>
        <v>0</v>
      </c>
      <c r="M22" s="24"/>
      <c r="N22" s="24"/>
    </row>
    <row r="23" ht="15.75" customHeight="1">
      <c r="C23" s="20" t="s">
        <v>124</v>
      </c>
      <c r="D23" s="44"/>
      <c r="E23" s="44">
        <f>D23*'Nutritional Intake'!C22</f>
        <v>0</v>
      </c>
      <c r="F23" s="44">
        <f>D23*'Nutritional Intake'!D22</f>
        <v>0</v>
      </c>
      <c r="G23" s="42"/>
      <c r="H23" s="44">
        <f>D23*'Nutritional Intake'!F22</f>
        <v>0</v>
      </c>
      <c r="I23" s="44">
        <f>D23*'Nutritional Intake'!G22</f>
        <v>0</v>
      </c>
      <c r="J23" s="44">
        <f>D23*'Nutritional Intake'!H22</f>
        <v>0</v>
      </c>
      <c r="K23" s="44">
        <f>D23*'Nutritional Intake'!I22</f>
        <v>0</v>
      </c>
      <c r="L23" s="44">
        <f>D23*'Nutritional Intake'!J22</f>
        <v>0</v>
      </c>
      <c r="M23" s="24"/>
      <c r="N23" s="24"/>
    </row>
    <row r="24" ht="15.75" customHeight="1">
      <c r="C24" s="20" t="s">
        <v>94</v>
      </c>
      <c r="D24" s="44"/>
      <c r="E24" s="44">
        <f>D24*'Nutritional Intake'!C23</f>
        <v>0</v>
      </c>
      <c r="F24" s="44">
        <f>D24*'Nutritional Intake'!D23</f>
        <v>0</v>
      </c>
      <c r="G24" s="42"/>
      <c r="H24" s="44">
        <f>D24*'Nutritional Intake'!F23</f>
        <v>0</v>
      </c>
      <c r="I24" s="44">
        <f>D24*'Nutritional Intake'!G23</f>
        <v>0</v>
      </c>
      <c r="J24" s="44">
        <f>D24*'Nutritional Intake'!H23</f>
        <v>0</v>
      </c>
      <c r="K24" s="44">
        <f>D24*'Nutritional Intake'!I23</f>
        <v>0</v>
      </c>
      <c r="L24" s="44">
        <f>D24*'Nutritional Intake'!J23</f>
        <v>0</v>
      </c>
      <c r="M24" s="24"/>
      <c r="N24" s="46"/>
    </row>
    <row r="25" ht="15.75" customHeight="1">
      <c r="C25" s="20" t="s">
        <v>96</v>
      </c>
      <c r="D25" s="44"/>
      <c r="E25" s="44">
        <f>D25*'Nutritional Intake'!C24</f>
        <v>0</v>
      </c>
      <c r="F25" s="44">
        <f>D25*'Nutritional Intake'!D24</f>
        <v>0</v>
      </c>
      <c r="G25" s="42"/>
      <c r="H25" s="44">
        <f>D25*'Nutritional Intake'!F24</f>
        <v>0</v>
      </c>
      <c r="I25" s="44">
        <f>D25*'Nutritional Intake'!G24</f>
        <v>0</v>
      </c>
      <c r="J25" s="44">
        <f>D25*'Nutritional Intake'!H24</f>
        <v>0</v>
      </c>
      <c r="K25" s="44">
        <f>D25*'Nutritional Intake'!I24</f>
        <v>0</v>
      </c>
      <c r="L25" s="44">
        <f>D25*'Nutritional Intake'!J24</f>
        <v>0</v>
      </c>
      <c r="M25" s="24"/>
      <c r="N25" s="24"/>
    </row>
    <row r="26" ht="15.75" customHeight="1">
      <c r="C26" s="20" t="s">
        <v>98</v>
      </c>
      <c r="D26" s="44"/>
      <c r="E26" s="44">
        <f>D26*'Nutritional Intake'!C25</f>
        <v>0</v>
      </c>
      <c r="F26" s="44">
        <f>D26*'Nutritional Intake'!D25</f>
        <v>0</v>
      </c>
      <c r="G26" s="42"/>
      <c r="H26" s="44">
        <f>D26*'Nutritional Intake'!F25</f>
        <v>0</v>
      </c>
      <c r="I26" s="44">
        <f>D26*'Nutritional Intake'!G25</f>
        <v>0</v>
      </c>
      <c r="J26" s="44">
        <f>D26*'Nutritional Intake'!H25</f>
        <v>0</v>
      </c>
      <c r="K26" s="44">
        <f>D26*'Nutritional Intake'!I25</f>
        <v>0</v>
      </c>
      <c r="L26" s="44">
        <f>D26*'Nutritional Intake'!J25</f>
        <v>0</v>
      </c>
      <c r="M26" s="24"/>
      <c r="N26" s="24"/>
    </row>
    <row r="27" ht="15.75" customHeight="1">
      <c r="C27" s="20" t="s">
        <v>148</v>
      </c>
      <c r="D27" s="44"/>
      <c r="E27" s="44">
        <f>D27*'Nutritional Intake'!C26</f>
        <v>0</v>
      </c>
      <c r="F27" s="44">
        <f>D27*'Nutritional Intake'!D26</f>
        <v>0</v>
      </c>
      <c r="G27" s="42"/>
      <c r="H27" s="44">
        <f>D27*'Nutritional Intake'!F26</f>
        <v>0</v>
      </c>
      <c r="I27" s="44">
        <f>D27*'Nutritional Intake'!G26</f>
        <v>0</v>
      </c>
      <c r="J27" s="44">
        <f>D27*'Nutritional Intake'!H26</f>
        <v>0</v>
      </c>
      <c r="K27" s="44">
        <f>D27*'Nutritional Intake'!I26</f>
        <v>0</v>
      </c>
      <c r="L27" s="44">
        <f>D27*'Nutritional Intake'!J26</f>
        <v>0</v>
      </c>
      <c r="M27" s="24"/>
      <c r="N27" s="46"/>
    </row>
    <row r="28" ht="15.75" customHeight="1">
      <c r="C28" s="20" t="s">
        <v>100</v>
      </c>
      <c r="D28" s="44"/>
      <c r="E28" s="44">
        <f>D28*'Nutritional Intake'!C27</f>
        <v>0</v>
      </c>
      <c r="F28" s="44">
        <f>D28*'Nutritional Intake'!D27</f>
        <v>0</v>
      </c>
      <c r="G28" s="42"/>
      <c r="H28" s="44">
        <f>D28*'Nutritional Intake'!F27</f>
        <v>0</v>
      </c>
      <c r="I28" s="44">
        <f>D28*'Nutritional Intake'!G27</f>
        <v>0</v>
      </c>
      <c r="J28" s="44">
        <f>D28*'Nutritional Intake'!H27</f>
        <v>0</v>
      </c>
      <c r="K28" s="44">
        <f>D28*'Nutritional Intake'!I27</f>
        <v>0</v>
      </c>
      <c r="L28" s="44">
        <f>D28*'Nutritional Intake'!J27</f>
        <v>0</v>
      </c>
      <c r="M28" s="24"/>
      <c r="N28" s="46"/>
    </row>
    <row r="29" ht="15.75" customHeight="1">
      <c r="C29" s="20" t="s">
        <v>101</v>
      </c>
      <c r="D29" s="44"/>
      <c r="E29" s="44">
        <f>D29*'Nutritional Intake'!C28</f>
        <v>0</v>
      </c>
      <c r="F29" s="44">
        <f>D29*'Nutritional Intake'!D28</f>
        <v>0</v>
      </c>
      <c r="G29" s="42"/>
      <c r="H29" s="44">
        <f>D29*'Nutritional Intake'!F28</f>
        <v>0</v>
      </c>
      <c r="I29" s="44">
        <f>D29*'Nutritional Intake'!G28</f>
        <v>0</v>
      </c>
      <c r="J29" s="44">
        <f>D29*'Nutritional Intake'!H28</f>
        <v>0</v>
      </c>
      <c r="K29" s="44">
        <f>D29*'Nutritional Intake'!I28</f>
        <v>0</v>
      </c>
      <c r="L29" s="44">
        <f>D29*'Nutritional Intake'!J28</f>
        <v>0</v>
      </c>
      <c r="M29" s="24"/>
      <c r="N29" s="46"/>
    </row>
    <row r="30" ht="15.75" customHeight="1">
      <c r="C30" s="20" t="s">
        <v>149</v>
      </c>
      <c r="D30" s="44"/>
      <c r="E30" s="44">
        <f>D30*'Nutritional Intake'!C29</f>
        <v>0</v>
      </c>
      <c r="F30" s="44">
        <f>D30*'Nutritional Intake'!D29</f>
        <v>0</v>
      </c>
      <c r="G30" s="42"/>
      <c r="H30" s="44">
        <f>D30*'Nutritional Intake'!F29</f>
        <v>0</v>
      </c>
      <c r="I30" s="44">
        <f>D30*'Nutritional Intake'!G29</f>
        <v>0</v>
      </c>
      <c r="J30" s="44">
        <f>D30*'Nutritional Intake'!H29</f>
        <v>0</v>
      </c>
      <c r="K30" s="44">
        <f>D30*'Nutritional Intake'!I29</f>
        <v>0</v>
      </c>
      <c r="L30" s="44">
        <f>D30*'Nutritional Intake'!J29</f>
        <v>0</v>
      </c>
      <c r="M30" s="24"/>
      <c r="N30" s="24"/>
    </row>
    <row r="31" ht="15.75" customHeight="1">
      <c r="C31" s="20" t="s">
        <v>8</v>
      </c>
      <c r="D31" s="44"/>
      <c r="E31" s="44">
        <f>D31*'Nutritional Intake'!C30</f>
        <v>0</v>
      </c>
      <c r="F31" s="44">
        <f>D31*'Nutritional Intake'!D30</f>
        <v>0</v>
      </c>
      <c r="G31" s="42"/>
      <c r="H31" s="44">
        <f>D31*'Nutritional Intake'!F30</f>
        <v>0</v>
      </c>
      <c r="I31" s="44">
        <f>D31*'Nutritional Intake'!G30</f>
        <v>0</v>
      </c>
      <c r="J31" s="44">
        <f>D31*'Nutritional Intake'!H30</f>
        <v>0</v>
      </c>
      <c r="K31" s="44">
        <f>D31*'Nutritional Intake'!I30</f>
        <v>0</v>
      </c>
      <c r="L31" s="44">
        <f>D31*'Nutritional Intake'!J30</f>
        <v>0</v>
      </c>
      <c r="M31" s="24"/>
      <c r="N31" s="46"/>
    </row>
    <row r="32" ht="15.75" customHeight="1">
      <c r="C32" s="20" t="s">
        <v>7</v>
      </c>
      <c r="D32" s="44"/>
      <c r="E32" s="44">
        <f>D32*'Nutritional Intake'!C31</f>
        <v>0</v>
      </c>
      <c r="F32" s="44">
        <f>D32*'Nutritional Intake'!D31</f>
        <v>0</v>
      </c>
      <c r="G32" s="42"/>
      <c r="H32" s="44">
        <f>D32*'Nutritional Intake'!F31</f>
        <v>0</v>
      </c>
      <c r="I32" s="44">
        <f>D32*'Nutritional Intake'!G31</f>
        <v>0</v>
      </c>
      <c r="J32" s="44">
        <f>D32*'Nutritional Intake'!H31</f>
        <v>0</v>
      </c>
      <c r="K32" s="44">
        <f>D32*'Nutritional Intake'!I31</f>
        <v>0</v>
      </c>
      <c r="L32" s="44">
        <f>D32*'Nutritional Intake'!J31</f>
        <v>0</v>
      </c>
      <c r="M32" s="24"/>
      <c r="N32" s="46"/>
    </row>
    <row r="33" ht="15.75" customHeight="1">
      <c r="C33" s="28" t="s">
        <v>150</v>
      </c>
      <c r="D33" s="43">
        <v>5.0</v>
      </c>
      <c r="E33" s="44">
        <f>D33*'Nutritional Intake'!C32</f>
        <v>13800</v>
      </c>
      <c r="F33" s="44">
        <f>D33*'Nutritional Intake'!D32</f>
        <v>105</v>
      </c>
      <c r="G33" s="42"/>
      <c r="H33" s="44">
        <f>D33*'Nutritional Intake'!F32</f>
        <v>75</v>
      </c>
      <c r="I33" s="44">
        <f>D33*'Nutritional Intake'!G32</f>
        <v>30</v>
      </c>
      <c r="J33" s="44">
        <f>D33*'Nutritional Intake'!H32</f>
        <v>25</v>
      </c>
      <c r="K33" s="44">
        <f>D33*'Nutritional Intake'!I32</f>
        <v>27.5</v>
      </c>
      <c r="L33" s="44">
        <f>D33*'Nutritional Intake'!J32</f>
        <v>4950</v>
      </c>
      <c r="M33" s="24"/>
      <c r="N33" s="24"/>
    </row>
    <row r="34" ht="15.75" customHeight="1">
      <c r="C34" s="20" t="s">
        <v>151</v>
      </c>
      <c r="D34" s="44"/>
      <c r="E34" s="44">
        <f>D34*'Nutritional Intake'!C33</f>
        <v>0</v>
      </c>
      <c r="F34" s="44">
        <f>D34*'Nutritional Intake'!D33</f>
        <v>0</v>
      </c>
      <c r="G34" s="42"/>
      <c r="H34" s="44">
        <f>D34*'Nutritional Intake'!F33</f>
        <v>0</v>
      </c>
      <c r="I34" s="44">
        <f>D34*'Nutritional Intake'!G33</f>
        <v>0</v>
      </c>
      <c r="J34" s="44">
        <f>D34*'Nutritional Intake'!H33</f>
        <v>0</v>
      </c>
      <c r="K34" s="44">
        <f>D34*'Nutritional Intake'!I33</f>
        <v>0</v>
      </c>
      <c r="L34" s="44">
        <f>D34*'Nutritional Intake'!J33</f>
        <v>0</v>
      </c>
      <c r="M34" s="24"/>
      <c r="N34" s="46"/>
    </row>
    <row r="35" ht="15.75" customHeight="1">
      <c r="C35" s="20" t="s">
        <v>152</v>
      </c>
      <c r="D35" s="44"/>
      <c r="E35" s="44">
        <f>D35*'Nutritional Intake'!C34</f>
        <v>0</v>
      </c>
      <c r="F35" s="44">
        <f>D35*'Nutritional Intake'!D34</f>
        <v>0</v>
      </c>
      <c r="G35" s="42"/>
      <c r="H35" s="44">
        <f>D35*'Nutritional Intake'!F34</f>
        <v>0</v>
      </c>
      <c r="I35" s="44">
        <f>D35*'Nutritional Intake'!G34</f>
        <v>0</v>
      </c>
      <c r="J35" s="44">
        <f>D35*'Nutritional Intake'!H34</f>
        <v>0</v>
      </c>
      <c r="K35" s="44">
        <f>D35*'Nutritional Intake'!I34</f>
        <v>0</v>
      </c>
      <c r="L35" s="44">
        <f>D35*'Nutritional Intake'!J34</f>
        <v>0</v>
      </c>
      <c r="M35" s="24"/>
      <c r="N35" s="24"/>
    </row>
    <row r="36" ht="15.75" customHeight="1">
      <c r="C36" s="20" t="s">
        <v>153</v>
      </c>
      <c r="D36" s="44"/>
      <c r="E36" s="44">
        <f>D36*'Nutritional Intake'!C35</f>
        <v>0</v>
      </c>
      <c r="F36" s="44">
        <f>D36*'Nutritional Intake'!D35</f>
        <v>0</v>
      </c>
      <c r="G36" s="42"/>
      <c r="H36" s="44">
        <f>D36*'Nutritional Intake'!F35</f>
        <v>0</v>
      </c>
      <c r="I36" s="44">
        <f>D36*'Nutritional Intake'!G35</f>
        <v>0</v>
      </c>
      <c r="J36" s="44">
        <f>D36*'Nutritional Intake'!H35</f>
        <v>0</v>
      </c>
      <c r="K36" s="44">
        <f>D36*'Nutritional Intake'!I35</f>
        <v>0</v>
      </c>
      <c r="L36" s="44">
        <f>D36*'Nutritional Intake'!J35</f>
        <v>0</v>
      </c>
      <c r="M36" s="24"/>
      <c r="N36" s="46"/>
    </row>
    <row r="37" ht="15.75" customHeight="1">
      <c r="C37" s="29" t="s">
        <v>154</v>
      </c>
      <c r="D37" s="47"/>
      <c r="E37" s="44">
        <f>D37*'Nutritional Intake'!C36</f>
        <v>0</v>
      </c>
      <c r="F37" s="44">
        <f>D37*'Nutritional Intake'!D36</f>
        <v>0</v>
      </c>
      <c r="G37" s="42"/>
      <c r="H37" s="44">
        <f>D37*'Nutritional Intake'!F36</f>
        <v>0</v>
      </c>
      <c r="I37" s="44">
        <f>D37*'Nutritional Intake'!G36</f>
        <v>0</v>
      </c>
      <c r="J37" s="44">
        <f>D37*'Nutritional Intake'!H36</f>
        <v>0</v>
      </c>
      <c r="K37" s="44">
        <f>D37*'Nutritional Intake'!I36</f>
        <v>0</v>
      </c>
      <c r="L37" s="44">
        <f>D37*'Nutritional Intake'!J36</f>
        <v>0</v>
      </c>
      <c r="M37" s="24"/>
      <c r="N37" s="48"/>
    </row>
    <row r="38" ht="15.75" customHeight="1">
      <c r="C38" s="30" t="s">
        <v>155</v>
      </c>
      <c r="D38" s="49"/>
      <c r="E38" s="44">
        <f>D38*'Nutritional Intake'!C37</f>
        <v>0</v>
      </c>
      <c r="F38" s="44">
        <f>D38*'Nutritional Intake'!D37</f>
        <v>0</v>
      </c>
      <c r="G38" s="42"/>
      <c r="H38" s="44">
        <f>D38*'Nutritional Intake'!F37</f>
        <v>0</v>
      </c>
      <c r="I38" s="44">
        <f>D38*'Nutritional Intake'!G37</f>
        <v>0</v>
      </c>
      <c r="J38" s="44">
        <f>D38*'Nutritional Intake'!H37</f>
        <v>0</v>
      </c>
      <c r="K38" s="44">
        <f>D38*'Nutritional Intake'!I37</f>
        <v>0</v>
      </c>
      <c r="L38" s="44">
        <f>D38*'Nutritional Intake'!J37</f>
        <v>0</v>
      </c>
      <c r="M38" s="24"/>
      <c r="N38" s="46"/>
    </row>
    <row r="39" ht="15.75" customHeight="1">
      <c r="C39" s="50" t="s">
        <v>156</v>
      </c>
      <c r="D39" s="49"/>
      <c r="E39" s="44">
        <f>D39*'Nutritional Intake'!C38</f>
        <v>0</v>
      </c>
      <c r="F39" s="44">
        <f>D39*'Nutritional Intake'!D38</f>
        <v>0</v>
      </c>
      <c r="G39" s="42"/>
      <c r="H39" s="44">
        <f>D39*'Nutritional Intake'!F38</f>
        <v>0</v>
      </c>
      <c r="I39" s="44">
        <f>D39*'Nutritional Intake'!G38</f>
        <v>0</v>
      </c>
      <c r="J39" s="44">
        <f>D39*'Nutritional Intake'!H38</f>
        <v>0</v>
      </c>
      <c r="K39" s="44">
        <f>D39*'Nutritional Intake'!I38</f>
        <v>0</v>
      </c>
      <c r="L39" s="44">
        <f>D39*'Nutritional Intake'!J38</f>
        <v>0</v>
      </c>
      <c r="M39" s="24"/>
      <c r="N39" s="46"/>
    </row>
    <row r="40" ht="15.75" customHeight="1">
      <c r="C40" s="50" t="s">
        <v>157</v>
      </c>
      <c r="D40" s="49"/>
      <c r="E40" s="44">
        <f>D40*'Nutritional Intake'!C39</f>
        <v>0</v>
      </c>
      <c r="F40" s="44">
        <f>D40*'Nutritional Intake'!D39</f>
        <v>0</v>
      </c>
      <c r="G40" s="42"/>
      <c r="H40" s="44">
        <f>D40*'Nutritional Intake'!F39</f>
        <v>0</v>
      </c>
      <c r="I40" s="44">
        <f>D40*'Nutritional Intake'!G39</f>
        <v>0</v>
      </c>
      <c r="J40" s="44">
        <f>D40*'Nutritional Intake'!H39</f>
        <v>0</v>
      </c>
      <c r="K40" s="44">
        <f>D40*'Nutritional Intake'!I39</f>
        <v>0</v>
      </c>
      <c r="L40" s="44">
        <f>D40*'Nutritional Intake'!J39</f>
        <v>0</v>
      </c>
      <c r="M40" s="24"/>
      <c r="N40" s="46"/>
    </row>
    <row r="41" ht="15.75" customHeight="1">
      <c r="C41" s="30" t="s">
        <v>158</v>
      </c>
      <c r="D41" s="49"/>
      <c r="E41" s="44">
        <f>D41*'Nutritional Intake'!C40</f>
        <v>0</v>
      </c>
      <c r="F41" s="44">
        <f>D41*'Nutritional Intake'!D40</f>
        <v>0</v>
      </c>
      <c r="G41" s="42"/>
      <c r="H41" s="44">
        <f>D41*'Nutritional Intake'!F40</f>
        <v>0</v>
      </c>
      <c r="I41" s="44">
        <f>D41*'Nutritional Intake'!G40</f>
        <v>0</v>
      </c>
      <c r="J41" s="44">
        <f>D41*'Nutritional Intake'!H40</f>
        <v>0</v>
      </c>
      <c r="K41" s="44">
        <f>D41*'Nutritional Intake'!I40</f>
        <v>0</v>
      </c>
      <c r="L41" s="44">
        <f>D41*'Nutritional Intake'!J40</f>
        <v>0</v>
      </c>
      <c r="M41" s="24"/>
      <c r="N41" s="46"/>
    </row>
    <row r="42" ht="15.75" customHeight="1">
      <c r="C42" s="24"/>
      <c r="D42" s="51"/>
      <c r="E42" s="51"/>
      <c r="F42" s="51"/>
      <c r="G42" s="51"/>
      <c r="H42" s="51"/>
      <c r="I42" s="51"/>
      <c r="J42" s="51"/>
      <c r="K42" s="51"/>
      <c r="L42" s="51"/>
      <c r="M42" s="24"/>
      <c r="N42" s="5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5:C7"/>
    <mergeCell ref="D6:D7"/>
  </mergeCells>
  <printOptions/>
  <pageMargins bottom="0.75" footer="0.0" header="0.0" left="0.7" right="0.7" top="0.75"/>
  <pageSetup orientation="landscape"/>
  <drawing r:id="rId1"/>
</worksheet>
</file>