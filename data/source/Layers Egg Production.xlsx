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<sst xmlns="http://schemas.openxmlformats.org/spreadsheetml/2006/main" count="23" uniqueCount="19">
  <si>
    <t xml:space="preserve">Month </t>
  </si>
  <si>
    <t>Opening</t>
  </si>
  <si>
    <t xml:space="preserve">Mortality Rate/Month </t>
  </si>
  <si>
    <t>Exp</t>
  </si>
  <si>
    <t xml:space="preserve">Laying </t>
  </si>
  <si>
    <t xml:space="preserve">Exp eggs/ Month </t>
  </si>
  <si>
    <t>Cracked Eggs Rate</t>
  </si>
  <si>
    <t>Stock</t>
  </si>
  <si>
    <t xml:space="preserve">Mort/ Month </t>
  </si>
  <si>
    <t>Rate/</t>
  </si>
  <si>
    <t xml:space="preserve">Cracked </t>
  </si>
  <si>
    <t>Normal</t>
  </si>
  <si>
    <t xml:space="preserve">Closing </t>
  </si>
  <si>
    <t>Eggs /</t>
  </si>
  <si>
    <t xml:space="preserve">Eggs in </t>
  </si>
  <si>
    <t xml:space="preserve">Stock </t>
  </si>
  <si>
    <t xml:space="preserve">Crate / </t>
  </si>
  <si>
    <t>month</t>
  </si>
  <si>
    <t>TOTAL NUMBER OF EGGS IN CRATES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</si>
</sst>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Times New Roman"/>
    </font>
    <font/>
    <font>
      <sz val="11.0"/>
      <color theme="1"/>
      <name val="Calibri"/>
    </font>
    <font>
      <sz val="11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0000"/>
        <bgColor rgb="FFFF0000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</fills>
  <borders count="13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ill="1" applyFont="1">
      <alignment shrinkToFit="0" vertical="center" wrapText="1"/>
    </xf>
    <xf borderId="3" fillId="0" fontId="2" numFmtId="0" xfId="0" applyBorder="1" applyFont="1"/>
    <xf borderId="4" fillId="2" fontId="1" numFmtId="0" xfId="0" applyAlignment="1" applyBorder="1" applyFill="1" applyFont="1">
      <alignment shrinkToFit="0" vertical="center" wrapText="1"/>
    </xf>
    <xf borderId="4" fillId="2" fontId="3" numFmtId="0" xfId="0" applyAlignment="1" applyBorder="1" applyFill="1" applyFont="1">
      <alignment shrinkToFit="0" vertical="top" wrapText="1"/>
    </xf>
    <xf borderId="5" fillId="0" fontId="2" numFmtId="0" xfId="0" applyBorder="1" applyFont="1"/>
    <xf borderId="6" fillId="2" fontId="3" numFmtId="0" xfId="0" applyAlignment="1" applyBorder="1" applyFill="1" applyFont="1">
      <alignment shrinkToFit="0" vertical="top" wrapText="1"/>
    </xf>
    <xf borderId="6" fillId="2" fontId="1" numFmtId="0" xfId="0" applyAlignment="1" applyBorder="1" applyFill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7" fillId="0" fontId="4" numFmtId="3" xfId="0" applyAlignment="1" applyBorder="1" applyFont="1" applyNumberFormat="1">
      <alignment shrinkToFit="0" vertical="center" wrapText="1"/>
    </xf>
    <xf borderId="6" fillId="3" fontId="4" numFmtId="10" xfId="0" applyAlignment="1" applyBorder="1" applyFill="1" applyFont="1" applyNumberFormat="1">
      <alignment shrinkToFit="0" vertical="center" wrapText="1"/>
    </xf>
    <xf borderId="7" fillId="0" fontId="4" numFmtId="1" xfId="0" applyAlignment="1" applyBorder="1" applyFont="1" applyNumberFormat="1">
      <alignment shrinkToFit="0" vertical="center" wrapText="1"/>
    </xf>
    <xf borderId="7" fillId="0" fontId="4" numFmtId="9" xfId="0" applyAlignment="1" applyBorder="1" applyFont="1" applyNumberFormat="1">
      <alignment shrinkToFit="0" vertical="center" wrapText="1"/>
    </xf>
    <xf borderId="6" fillId="4" fontId="4" numFmtId="10" xfId="0" applyAlignment="1" applyBorder="1" applyFill="1" applyFont="1" applyNumberFormat="1">
      <alignment shrinkToFit="0" vertical="center" wrapText="1"/>
    </xf>
    <xf borderId="3" fillId="0" fontId="4" numFmtId="0" xfId="0" applyAlignment="1" applyBorder="1" applyFont="1">
      <alignment shrinkToFit="0" vertical="center" wrapText="1"/>
    </xf>
    <xf borderId="8" fillId="0" fontId="4" numFmtId="3" xfId="0" applyAlignment="1" applyBorder="1" applyFont="1" applyNumberFormat="1">
      <alignment shrinkToFit="0" vertical="center" wrapText="1"/>
    </xf>
    <xf borderId="4" fillId="3" fontId="4" numFmtId="10" xfId="0" applyAlignment="1" applyBorder="1" applyFill="1" applyFont="1" applyNumberFormat="1">
      <alignment shrinkToFit="0" vertical="center" wrapText="1"/>
    </xf>
    <xf borderId="8" fillId="0" fontId="4" numFmtId="1" xfId="0" applyAlignment="1" applyBorder="1" applyFont="1" applyNumberFormat="1">
      <alignment shrinkToFit="0" vertical="center" wrapText="1"/>
    </xf>
    <xf borderId="8" fillId="0" fontId="4" numFmtId="9" xfId="0" applyAlignment="1" applyBorder="1" applyFont="1" applyNumberFormat="1">
      <alignment shrinkToFit="0" vertical="center" wrapText="1"/>
    </xf>
    <xf borderId="4" fillId="4" fontId="4" numFmtId="9" xfId="0" applyAlignment="1" applyBorder="1" applyFill="1" applyFont="1" applyNumberFormat="1">
      <alignment shrinkToFit="0" vertical="center" wrapText="1"/>
    </xf>
    <xf borderId="9" fillId="0" fontId="1" numFmtId="3" xfId="0" applyAlignment="1" applyBorder="1" applyFont="1" applyNumberForma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5" fontId="1" numFmtId="3" xfId="0" applyAlignment="1" applyBorder="1" applyFill="1" applyFont="1" applyNumberFormat="1">
      <alignment shrinkToFit="0" vertical="center" wrapText="1"/>
    </xf>
    <xf borderId="6" fillId="5" fontId="1" numFmtId="3" xfId="0" applyAlignment="1" applyBorder="1" applyFill="1" applyFont="1" applyNumberFormat="1">
      <alignment shrinkToFit="0" vertical="center" wrapText="1"/>
    </xf>
    <xf borderId="7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581025</xdr:colOff>
      <xdr:row>63</xdr:row>
      <xdr:rowOff>95250</xdr:rowOff>
    </xdr:from>
    <xdr:ext cx="38100" cy="190500"/>
    <xdr:grpSp>
      <xdr:nvGrpSpPr>
        <xdr:cNvPr id="2" name="Shape 2"/>
        <xdr:cNvGrpSpPr/>
      </xdr:nvGrpSpPr>
      <xdr:grpSpPr>
        <a:xfrm>
          <a:off x="5346000" y="3684750"/>
          <a:ext cx="0" cy="190500"/>
          <a:chOff x="5346000" y="3684750"/>
          <a:chExt cx="0" cy="190500"/>
        </a:xfrm>
      </xdr:grpSpPr>
      <xdr:cxnSp>
        <xdr:nvCxnSpPr>
          <xdr:cNvPr id="3" name="Shape 3"/>
          <xdr:cNvCxnSpPr/>
        </xdr:nvCxnSpPr>
        <xdr:spPr>
          <a:xfrm>
            <a:off x="5346000" y="3684750"/>
            <a:ext cx="0" cy="190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8.14"/>
    <col customWidth="1" min="6" max="6" width="13.14"/>
    <col customWidth="1" min="7" max="7" width="12.71"/>
    <col customWidth="1" min="8" max="8" width="13.14"/>
    <col customWidth="1" min="9" max="9" width="11.0"/>
    <col customWidth="1" min="10" max="10" width="15.29"/>
    <col customWidth="1" min="11" max="11" width="13.0"/>
    <col customWidth="1" min="12" max="12" width="15.57"/>
    <col customWidth="1" min="13" max="13" width="15.43"/>
    <col customWidth="1" min="14" max="14" width="11.14"/>
    <col customWidth="1" min="15" max="26" width="8.71"/>
  </cols>
  <sheetData>
    <row r="6">
      <c r="E6" s="1" t="s">
        <v>0</v>
      </c>
      <c r="F6" s="2" t="s">
        <v>1</v>
      </c>
      <c r="G6" s="1" t="s">
        <v>2</v>
      </c>
      <c r="H6" s="2" t="s">
        <v>3</v>
      </c>
      <c r="I6" s="2" t="s">
        <v>4</v>
      </c>
      <c r="J6" s="1" t="s">
        <v>5</v>
      </c>
      <c r="K6" s="1" t="s">
        <v>6</v>
      </c>
      <c r="L6" s="2" t="s">
        <v>3</v>
      </c>
      <c r="M6" s="2" t="s">
        <v>3</v>
      </c>
      <c r="N6" s="2"/>
    </row>
    <row r="7">
      <c r="E7" s="3"/>
      <c r="F7" s="4" t="s">
        <v>7</v>
      </c>
      <c r="G7" s="3"/>
      <c r="H7" s="4" t="s">
        <v>8</v>
      </c>
      <c r="I7" s="4" t="s">
        <v>9</v>
      </c>
      <c r="J7" s="3"/>
      <c r="K7" s="3"/>
      <c r="L7" s="4" t="s">
        <v>10</v>
      </c>
      <c r="M7" s="4" t="s">
        <v>11</v>
      </c>
      <c r="N7" s="4" t="s">
        <v>12</v>
      </c>
    </row>
    <row r="8">
      <c r="E8" s="3"/>
      <c r="F8" s="5"/>
      <c r="G8" s="3"/>
      <c r="H8" s="5"/>
      <c r="I8" s="4" t="s">
        <v>0</v>
      </c>
      <c r="J8" s="3"/>
      <c r="K8" s="3"/>
      <c r="L8" s="4" t="s">
        <v>13</v>
      </c>
      <c r="M8" s="4" t="s">
        <v>14</v>
      </c>
      <c r="N8" s="4" t="s">
        <v>15</v>
      </c>
    </row>
    <row r="9">
      <c r="E9" s="3"/>
      <c r="F9" s="5"/>
      <c r="G9" s="3"/>
      <c r="H9" s="5"/>
      <c r="I9" s="4"/>
      <c r="J9" s="3"/>
      <c r="K9" s="3"/>
      <c r="L9" s="4" t="s">
        <v>0</v>
      </c>
      <c r="M9" s="4" t="s">
        <v>16</v>
      </c>
      <c r="N9" s="5"/>
    </row>
    <row r="10">
      <c r="E10" s="6"/>
      <c r="F10" s="7"/>
      <c r="G10" s="6"/>
      <c r="H10" s="7"/>
      <c r="I10" s="7"/>
      <c r="J10" s="6"/>
      <c r="K10" s="6"/>
      <c r="L10" s="7"/>
      <c r="M10" s="8" t="s">
        <v>17</v>
      </c>
      <c r="N10" s="7"/>
    </row>
    <row r="11">
      <c r="E11" s="9">
        <v>1.0</v>
      </c>
      <c r="F11" s="10">
        <v>1418.0</v>
      </c>
      <c r="G11" s="11">
        <v>0.005</v>
      </c>
      <c r="H11" s="12">
        <f t="shared" ref="H11:H28" si="1">F11*G11</f>
        <v>7.09</v>
      </c>
      <c r="I11" s="13">
        <v>0.45</v>
      </c>
      <c r="J11" s="10">
        <f t="shared" ref="J11:J28" si="2">F11*I11*28</f>
        <v>17866.8</v>
      </c>
      <c r="K11" s="14">
        <v>0.005</v>
      </c>
      <c r="L11" s="12">
        <f t="shared" ref="L11:L28" si="3">J11*K11</f>
        <v>89.334</v>
      </c>
      <c r="M11" s="10">
        <f t="shared" ref="M11:M28" si="4">(J11-L11)/30</f>
        <v>592.5822</v>
      </c>
      <c r="N11" s="10">
        <f t="shared" ref="N11:N28" si="5">F11-H11</f>
        <v>1410.91</v>
      </c>
    </row>
    <row r="12">
      <c r="E12" s="9">
        <v>2.0</v>
      </c>
      <c r="F12" s="10">
        <f t="shared" ref="F12:F28" si="6">N11</f>
        <v>1410.91</v>
      </c>
      <c r="G12" s="11">
        <v>0.005</v>
      </c>
      <c r="H12" s="12">
        <f t="shared" si="1"/>
        <v>7.05455</v>
      </c>
      <c r="I12" s="13">
        <v>0.8</v>
      </c>
      <c r="J12" s="10">
        <f t="shared" si="2"/>
        <v>31604.384</v>
      </c>
      <c r="K12" s="14">
        <v>0.005</v>
      </c>
      <c r="L12" s="12">
        <f t="shared" si="3"/>
        <v>158.02192</v>
      </c>
      <c r="M12" s="10">
        <f t="shared" si="4"/>
        <v>1048.212069</v>
      </c>
      <c r="N12" s="10">
        <f t="shared" si="5"/>
        <v>1403.85545</v>
      </c>
    </row>
    <row r="13">
      <c r="E13" s="9">
        <v>3.0</v>
      </c>
      <c r="F13" s="10">
        <f t="shared" si="6"/>
        <v>1403.85545</v>
      </c>
      <c r="G13" s="11">
        <v>0.005</v>
      </c>
      <c r="H13" s="12">
        <f t="shared" si="1"/>
        <v>7.01927725</v>
      </c>
      <c r="I13" s="13">
        <v>0.8</v>
      </c>
      <c r="J13" s="10">
        <f t="shared" si="2"/>
        <v>31446.36208</v>
      </c>
      <c r="K13" s="14">
        <v>0.005</v>
      </c>
      <c r="L13" s="12">
        <f t="shared" si="3"/>
        <v>157.2318104</v>
      </c>
      <c r="M13" s="10">
        <f t="shared" si="4"/>
        <v>1042.971009</v>
      </c>
      <c r="N13" s="10">
        <f t="shared" si="5"/>
        <v>1396.836173</v>
      </c>
    </row>
    <row r="14">
      <c r="E14" s="9">
        <v>4.0</v>
      </c>
      <c r="F14" s="10">
        <f t="shared" si="6"/>
        <v>1396.836173</v>
      </c>
      <c r="G14" s="11">
        <v>0.005</v>
      </c>
      <c r="H14" s="12">
        <f t="shared" si="1"/>
        <v>6.984180864</v>
      </c>
      <c r="I14" s="13">
        <v>0.8</v>
      </c>
      <c r="J14" s="10">
        <f t="shared" si="2"/>
        <v>31289.13027</v>
      </c>
      <c r="K14" s="14">
        <v>0.005</v>
      </c>
      <c r="L14" s="12">
        <f t="shared" si="3"/>
        <v>156.4456513</v>
      </c>
      <c r="M14" s="10">
        <f t="shared" si="4"/>
        <v>1037.756154</v>
      </c>
      <c r="N14" s="10">
        <f t="shared" si="5"/>
        <v>1389.851992</v>
      </c>
    </row>
    <row r="15">
      <c r="E15" s="9">
        <v>5.0</v>
      </c>
      <c r="F15" s="10">
        <f t="shared" si="6"/>
        <v>1389.851992</v>
      </c>
      <c r="G15" s="11">
        <v>0.005</v>
      </c>
      <c r="H15" s="12">
        <f t="shared" si="1"/>
        <v>6.949259959</v>
      </c>
      <c r="I15" s="13">
        <v>0.8</v>
      </c>
      <c r="J15" s="10">
        <f t="shared" si="2"/>
        <v>31132.68462</v>
      </c>
      <c r="K15" s="14">
        <v>0.005</v>
      </c>
      <c r="L15" s="12">
        <f t="shared" si="3"/>
        <v>155.6634231</v>
      </c>
      <c r="M15" s="10">
        <f t="shared" si="4"/>
        <v>1032.567373</v>
      </c>
      <c r="N15" s="10">
        <f t="shared" si="5"/>
        <v>1382.902732</v>
      </c>
    </row>
    <row r="16">
      <c r="E16" s="9">
        <v>6.0</v>
      </c>
      <c r="F16" s="10">
        <f t="shared" si="6"/>
        <v>1382.902732</v>
      </c>
      <c r="G16" s="11">
        <v>0.005</v>
      </c>
      <c r="H16" s="12">
        <f t="shared" si="1"/>
        <v>6.91451366</v>
      </c>
      <c r="I16" s="13">
        <v>0.8</v>
      </c>
      <c r="J16" s="10">
        <f t="shared" si="2"/>
        <v>30977.0212</v>
      </c>
      <c r="K16" s="14">
        <v>0.005</v>
      </c>
      <c r="L16" s="12">
        <f t="shared" si="3"/>
        <v>154.885106</v>
      </c>
      <c r="M16" s="10">
        <f t="shared" si="4"/>
        <v>1027.404536</v>
      </c>
      <c r="N16" s="10">
        <f t="shared" si="5"/>
        <v>1375.988218</v>
      </c>
    </row>
    <row r="17">
      <c r="E17" s="9">
        <v>7.0</v>
      </c>
      <c r="F17" s="10">
        <f t="shared" si="6"/>
        <v>1375.988218</v>
      </c>
      <c r="G17" s="11">
        <v>0.005</v>
      </c>
      <c r="H17" s="12">
        <f t="shared" si="1"/>
        <v>6.879941091</v>
      </c>
      <c r="I17" s="13">
        <v>0.8</v>
      </c>
      <c r="J17" s="10">
        <f t="shared" si="2"/>
        <v>30822.13609</v>
      </c>
      <c r="K17" s="14">
        <v>0.005</v>
      </c>
      <c r="L17" s="12">
        <f t="shared" si="3"/>
        <v>154.1106804</v>
      </c>
      <c r="M17" s="10">
        <f t="shared" si="4"/>
        <v>1022.267514</v>
      </c>
      <c r="N17" s="10">
        <f t="shared" si="5"/>
        <v>1369.108277</v>
      </c>
    </row>
    <row r="18">
      <c r="E18" s="9">
        <v>8.0</v>
      </c>
      <c r="F18" s="10">
        <f t="shared" si="6"/>
        <v>1369.108277</v>
      </c>
      <c r="G18" s="11">
        <v>0.005</v>
      </c>
      <c r="H18" s="12">
        <f t="shared" si="1"/>
        <v>6.845541386</v>
      </c>
      <c r="I18" s="13">
        <v>0.8</v>
      </c>
      <c r="J18" s="10">
        <f t="shared" si="2"/>
        <v>30668.02541</v>
      </c>
      <c r="K18" s="14">
        <v>0.005</v>
      </c>
      <c r="L18" s="12">
        <f t="shared" si="3"/>
        <v>153.340127</v>
      </c>
      <c r="M18" s="10">
        <f t="shared" si="4"/>
        <v>1017.156176</v>
      </c>
      <c r="N18" s="10">
        <f t="shared" si="5"/>
        <v>1362.262736</v>
      </c>
    </row>
    <row r="19">
      <c r="E19" s="9">
        <v>9.0</v>
      </c>
      <c r="F19" s="10">
        <f t="shared" si="6"/>
        <v>1362.262736</v>
      </c>
      <c r="G19" s="11">
        <v>0.005</v>
      </c>
      <c r="H19" s="12">
        <f t="shared" si="1"/>
        <v>6.811313679</v>
      </c>
      <c r="I19" s="13">
        <v>0.8</v>
      </c>
      <c r="J19" s="10">
        <f t="shared" si="2"/>
        <v>30514.68528</v>
      </c>
      <c r="K19" s="14">
        <v>0.005</v>
      </c>
      <c r="L19" s="12">
        <f t="shared" si="3"/>
        <v>152.5734264</v>
      </c>
      <c r="M19" s="10">
        <f t="shared" si="4"/>
        <v>1012.070395</v>
      </c>
      <c r="N19" s="10">
        <f t="shared" si="5"/>
        <v>1355.451422</v>
      </c>
    </row>
    <row r="20">
      <c r="E20" s="9">
        <v>10.0</v>
      </c>
      <c r="F20" s="10">
        <f t="shared" si="6"/>
        <v>1355.451422</v>
      </c>
      <c r="G20" s="11">
        <v>0.005</v>
      </c>
      <c r="H20" s="12">
        <f t="shared" si="1"/>
        <v>6.777257111</v>
      </c>
      <c r="I20" s="13">
        <v>0.8</v>
      </c>
      <c r="J20" s="10">
        <f t="shared" si="2"/>
        <v>30362.11186</v>
      </c>
      <c r="K20" s="14">
        <v>0.005</v>
      </c>
      <c r="L20" s="12">
        <f t="shared" si="3"/>
        <v>151.8105593</v>
      </c>
      <c r="M20" s="10">
        <f t="shared" si="4"/>
        <v>1007.010043</v>
      </c>
      <c r="N20" s="10">
        <f t="shared" si="5"/>
        <v>1348.674165</v>
      </c>
    </row>
    <row r="21" ht="15.75" customHeight="1">
      <c r="E21" s="9">
        <v>11.0</v>
      </c>
      <c r="F21" s="10">
        <f t="shared" si="6"/>
        <v>1348.674165</v>
      </c>
      <c r="G21" s="11">
        <v>0.005</v>
      </c>
      <c r="H21" s="12">
        <f t="shared" si="1"/>
        <v>6.743370825</v>
      </c>
      <c r="I21" s="13">
        <v>0.8</v>
      </c>
      <c r="J21" s="10">
        <f t="shared" si="2"/>
        <v>30210.3013</v>
      </c>
      <c r="K21" s="14">
        <v>0.005</v>
      </c>
      <c r="L21" s="12">
        <f t="shared" si="3"/>
        <v>151.0515065</v>
      </c>
      <c r="M21" s="10">
        <f t="shared" si="4"/>
        <v>1001.974993</v>
      </c>
      <c r="N21" s="10">
        <f t="shared" si="5"/>
        <v>1341.930794</v>
      </c>
    </row>
    <row r="22" ht="15.75" customHeight="1">
      <c r="E22" s="9">
        <v>12.0</v>
      </c>
      <c r="F22" s="10">
        <f t="shared" si="6"/>
        <v>1341.930794</v>
      </c>
      <c r="G22" s="11">
        <v>0.005</v>
      </c>
      <c r="H22" s="12">
        <f t="shared" si="1"/>
        <v>6.709653971</v>
      </c>
      <c r="I22" s="13">
        <v>0.8</v>
      </c>
      <c r="J22" s="10">
        <f t="shared" si="2"/>
        <v>30059.24979</v>
      </c>
      <c r="K22" s="14">
        <v>0.005</v>
      </c>
      <c r="L22" s="12">
        <f t="shared" si="3"/>
        <v>150.2962489</v>
      </c>
      <c r="M22" s="10">
        <f t="shared" si="4"/>
        <v>996.965118</v>
      </c>
      <c r="N22" s="10">
        <f t="shared" si="5"/>
        <v>1335.22114</v>
      </c>
    </row>
    <row r="23" ht="15.75" customHeight="1">
      <c r="E23" s="9">
        <v>13.0</v>
      </c>
      <c r="F23" s="10">
        <f t="shared" si="6"/>
        <v>1335.22114</v>
      </c>
      <c r="G23" s="11">
        <v>0.005</v>
      </c>
      <c r="H23" s="12">
        <f t="shared" si="1"/>
        <v>6.676105701</v>
      </c>
      <c r="I23" s="13">
        <v>0.8</v>
      </c>
      <c r="J23" s="10">
        <f t="shared" si="2"/>
        <v>29908.95354</v>
      </c>
      <c r="K23" s="14">
        <v>0.005</v>
      </c>
      <c r="L23" s="12">
        <f t="shared" si="3"/>
        <v>149.5447677</v>
      </c>
      <c r="M23" s="10">
        <f t="shared" si="4"/>
        <v>991.9802924</v>
      </c>
      <c r="N23" s="10">
        <f t="shared" si="5"/>
        <v>1328.545035</v>
      </c>
    </row>
    <row r="24" ht="15.75" customHeight="1">
      <c r="E24" s="9">
        <v>14.0</v>
      </c>
      <c r="F24" s="10">
        <f t="shared" si="6"/>
        <v>1328.545035</v>
      </c>
      <c r="G24" s="11">
        <v>0.005</v>
      </c>
      <c r="H24" s="12">
        <f t="shared" si="1"/>
        <v>6.642725173</v>
      </c>
      <c r="I24" s="13">
        <v>0.8</v>
      </c>
      <c r="J24" s="10">
        <f t="shared" si="2"/>
        <v>29759.40877</v>
      </c>
      <c r="K24" s="14">
        <v>0.005</v>
      </c>
      <c r="L24" s="12">
        <f t="shared" si="3"/>
        <v>148.7970439</v>
      </c>
      <c r="M24" s="10">
        <f t="shared" si="4"/>
        <v>987.020391</v>
      </c>
      <c r="N24" s="10">
        <f t="shared" si="5"/>
        <v>1321.902309</v>
      </c>
    </row>
    <row r="25" ht="15.75" customHeight="1">
      <c r="E25" s="9">
        <v>15.0</v>
      </c>
      <c r="F25" s="10">
        <f t="shared" si="6"/>
        <v>1321.902309</v>
      </c>
      <c r="G25" s="11">
        <v>0.005</v>
      </c>
      <c r="H25" s="12">
        <f t="shared" si="1"/>
        <v>6.609511547</v>
      </c>
      <c r="I25" s="13">
        <v>0.8</v>
      </c>
      <c r="J25" s="10">
        <f t="shared" si="2"/>
        <v>29610.61173</v>
      </c>
      <c r="K25" s="14">
        <v>0.005</v>
      </c>
      <c r="L25" s="12">
        <f t="shared" si="3"/>
        <v>148.0530586</v>
      </c>
      <c r="M25" s="10">
        <f t="shared" si="4"/>
        <v>982.085289</v>
      </c>
      <c r="N25" s="10">
        <f t="shared" si="5"/>
        <v>1315.292798</v>
      </c>
    </row>
    <row r="26" ht="15.75" customHeight="1">
      <c r="E26" s="9">
        <v>16.0</v>
      </c>
      <c r="F26" s="10">
        <f t="shared" si="6"/>
        <v>1315.292798</v>
      </c>
      <c r="G26" s="11">
        <v>0.005</v>
      </c>
      <c r="H26" s="12">
        <f t="shared" si="1"/>
        <v>6.576463989</v>
      </c>
      <c r="I26" s="13">
        <v>0.8</v>
      </c>
      <c r="J26" s="10">
        <f t="shared" si="2"/>
        <v>29462.55867</v>
      </c>
      <c r="K26" s="14">
        <v>0.005</v>
      </c>
      <c r="L26" s="12">
        <f t="shared" si="3"/>
        <v>147.3127934</v>
      </c>
      <c r="M26" s="10">
        <f t="shared" si="4"/>
        <v>977.1748626</v>
      </c>
      <c r="N26" s="10">
        <f t="shared" si="5"/>
        <v>1308.716334</v>
      </c>
    </row>
    <row r="27" ht="15.75" customHeight="1">
      <c r="E27" s="9">
        <v>17.0</v>
      </c>
      <c r="F27" s="10">
        <f t="shared" si="6"/>
        <v>1308.716334</v>
      </c>
      <c r="G27" s="11">
        <v>0.005</v>
      </c>
      <c r="H27" s="12">
        <f t="shared" si="1"/>
        <v>6.543581669</v>
      </c>
      <c r="I27" s="13">
        <v>0.8</v>
      </c>
      <c r="J27" s="10">
        <f t="shared" si="2"/>
        <v>29315.24588</v>
      </c>
      <c r="K27" s="14">
        <v>0.005</v>
      </c>
      <c r="L27" s="12">
        <f t="shared" si="3"/>
        <v>146.5762294</v>
      </c>
      <c r="M27" s="10">
        <f t="shared" si="4"/>
        <v>972.2889883</v>
      </c>
      <c r="N27" s="10">
        <f t="shared" si="5"/>
        <v>1302.172752</v>
      </c>
    </row>
    <row r="28" ht="15.75" customHeight="1">
      <c r="E28" s="15">
        <v>18.0</v>
      </c>
      <c r="F28" s="16">
        <f t="shared" si="6"/>
        <v>1302.172752</v>
      </c>
      <c r="G28" s="17">
        <v>0.005</v>
      </c>
      <c r="H28" s="18">
        <f t="shared" si="1"/>
        <v>6.510863761</v>
      </c>
      <c r="I28" s="19">
        <v>0.75</v>
      </c>
      <c r="J28" s="16">
        <f t="shared" si="2"/>
        <v>27345.62779</v>
      </c>
      <c r="K28" s="20">
        <v>0.01</v>
      </c>
      <c r="L28" s="18">
        <f t="shared" si="3"/>
        <v>273.4562779</v>
      </c>
      <c r="M28" s="10">
        <f t="shared" si="4"/>
        <v>902.4057172</v>
      </c>
      <c r="N28" s="10">
        <f t="shared" si="5"/>
        <v>1295.661888</v>
      </c>
    </row>
    <row r="29" ht="15.75" customHeight="1">
      <c r="E29" s="21" t="s">
        <v>18</v>
      </c>
      <c r="F29" s="22"/>
      <c r="G29" s="22"/>
      <c r="H29" s="22"/>
      <c r="I29" s="22"/>
      <c r="J29" s="22"/>
      <c r="K29" s="23"/>
      <c r="L29" s="24">
        <f>SUM(L11:L28)/30</f>
        <v>93.28348768</v>
      </c>
      <c r="M29" s="25">
        <f>SUM(M11:M28)</f>
        <v>17651.89312</v>
      </c>
      <c r="N29" s="26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6:E10"/>
    <mergeCell ref="G6:G10"/>
    <mergeCell ref="J6:J10"/>
    <mergeCell ref="K6:K10"/>
    <mergeCell ref="E29:K29"/>
  </mergeCells>
  <printOptions/>
  <pageMargins bottom="0.75" footer="0.0" header="0.0" left="0.7" right="0.7" top="0.75"/>
  <pageSetup paperSize="9" orientation="portrait"/>
  <drawing r:id="rId1"/>
</worksheet>
</file>