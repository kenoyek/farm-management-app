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<sst xmlns="http://schemas.openxmlformats.org/spreadsheetml/2006/main" count="17" uniqueCount="16">
  <si>
    <t>Wk</t>
  </si>
  <si>
    <t xml:space="preserve">Daily </t>
  </si>
  <si>
    <t>Opening</t>
  </si>
  <si>
    <t>Feed consumption/wk (kg)</t>
  </si>
  <si>
    <t xml:space="preserve">Unit </t>
  </si>
  <si>
    <t>Cost of feed/wk</t>
  </si>
  <si>
    <t>Mortality Rate/wk</t>
  </si>
  <si>
    <t>Mortality</t>
  </si>
  <si>
    <t xml:space="preserve">Closing </t>
  </si>
  <si>
    <t>Feed ration (g)</t>
  </si>
  <si>
    <t>Stock</t>
  </si>
  <si>
    <t xml:space="preserve">Cost/ </t>
  </si>
  <si>
    <t>(₦)</t>
  </si>
  <si>
    <t>(%)</t>
  </si>
  <si>
    <t>Kg (₦)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</si>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</sst>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Calibri"/>
    </font>
    <font/>
    <font>
      <sz val="11.0"/>
      <color theme="1"/>
      <name val="Times New Roman"/>
    </font>
    <font>
      <b/>
      <sz val="12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1" fillId="0" fontId="2" numFmtId="0" xfId="0" applyBorder="1" applyFont="1"/>
    <xf borderId="3" fillId="0" fontId="3" numFmtId="0" xfId="0" applyBorder="1" applyFont="1"/>
    <xf borderId="4" fillId="2" fontId="1" numFmtId="0" xfId="0" applyAlignment="1" applyBorder="1" applyFill="1" applyFont="1">
      <alignment shrinkToFit="0" vertical="center" wrapText="1"/>
    </xf>
    <xf borderId="3" fillId="0" fontId="2" numFmtId="0" xfId="0" applyBorder="1" applyFont="1"/>
    <xf borderId="5" fillId="0" fontId="3" numFmtId="0" xfId="0" applyBorder="1" applyFont="1"/>
    <xf borderId="6" fillId="2" fontId="2" numFmtId="0" xfId="0" applyAlignment="1" applyBorder="1" applyFill="1" applyFont="1">
      <alignment shrinkToFit="0" vertical="top" wrapText="1"/>
    </xf>
    <xf borderId="6" fillId="2" fontId="1" numFmtId="0" xfId="0" applyAlignment="1" applyBorder="1" applyFill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7" fillId="0" fontId="4" numFmtId="1" xfId="0" applyAlignment="1" applyBorder="1" applyFont="1" applyNumberFormat="1">
      <alignment shrinkToFit="0" vertical="center" wrapText="1"/>
    </xf>
    <xf borderId="7" fillId="0" fontId="4" numFmtId="3" xfId="0" applyAlignment="1" applyBorder="1" applyFont="1" applyNumberFormat="1">
      <alignment shrinkToFit="0" vertical="center" wrapText="1"/>
    </xf>
    <xf borderId="7" fillId="0" fontId="4" numFmtId="10" xfId="0" applyAlignment="1" applyBorder="1" applyFont="1" applyNumberFormat="1">
      <alignment shrinkToFit="0" vertical="center" wrapText="1"/>
    </xf>
    <xf borderId="8" fillId="0" fontId="4" numFmtId="1" xfId="0" applyAlignment="1" applyBorder="1" applyFont="1" applyNumberFormat="1">
      <alignment shrinkToFit="0" vertical="center" wrapText="1"/>
    </xf>
    <xf borderId="9" fillId="0" fontId="5" numFmtId="3" xfId="0" applyBorder="1" applyFont="1" applyNumberFormat="1"/>
    <xf borderId="3" fillId="0" fontId="5" numFmtId="3" xfId="0" applyBorder="1" applyFont="1" applyNumberFormat="1"/>
    <xf borderId="0" fillId="0" fontId="6" numFmtId="1" xfId="0" applyFont="1" applyNumberFormat="1"/>
    <xf borderId="5" fillId="0" fontId="5" numFmtId="3" xfId="0" applyBorder="1" applyFont="1" applyNumberFormat="1"/>
    <xf borderId="10" fillId="0" fontId="1" numFmtId="0" xfId="0" applyAlignment="1" applyBorder="1" applyFont="1">
      <alignment shrinkToFit="0" vertical="center" wrapText="1"/>
    </xf>
    <xf borderId="11" fillId="0" fontId="3" numFmtId="0" xfId="0" applyBorder="1" applyFont="1"/>
    <xf borderId="12" fillId="0" fontId="3" numFmtId="0" xfId="0" applyBorder="1" applyFont="1"/>
    <xf borderId="6" fillId="3" fontId="1" numFmtId="3" xfId="0" applyAlignment="1" applyBorder="1" applyFill="1" applyFont="1" applyNumberForma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6" fillId="4" fontId="1" numFmtId="3" xfId="0" applyAlignment="1" applyBorder="1" applyFill="1" applyFont="1" applyNumberFormat="1">
      <alignment shrinkToFit="0" vertical="center" wrapText="1"/>
    </xf>
    <xf borderId="6" fillId="5" fontId="1" numFmtId="1" xfId="0" applyAlignment="1" applyBorder="1" applyFill="1" applyFont="1" applyNumberFormat="1">
      <alignment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4.0"/>
    <col customWidth="1" min="7" max="7" width="8.14"/>
    <col customWidth="1" min="8" max="8" width="11.0"/>
    <col customWidth="1" min="9" max="9" width="9.57"/>
    <col customWidth="1" min="10" max="10" width="9.43"/>
    <col customWidth="1" min="11" max="11" width="10.57"/>
    <col customWidth="1" min="12" max="12" width="10.14"/>
    <col customWidth="1" min="13" max="26" width="8.71"/>
  </cols>
  <sheetData>
    <row r="7">
      <c r="C7" s="1" t="s">
        <v>0</v>
      </c>
      <c r="D7" s="2" t="s">
        <v>1</v>
      </c>
      <c r="E7" s="2" t="s">
        <v>2</v>
      </c>
      <c r="F7" s="1" t="s">
        <v>3</v>
      </c>
      <c r="G7" s="2" t="s">
        <v>4</v>
      </c>
      <c r="H7" s="2" t="s">
        <v>5</v>
      </c>
      <c r="I7" s="2" t="s">
        <v>6</v>
      </c>
      <c r="J7" s="1" t="s">
        <v>7</v>
      </c>
      <c r="K7" s="2" t="s">
        <v>8</v>
      </c>
      <c r="L7" s="3"/>
    </row>
    <row r="8" ht="42.75" customHeight="1">
      <c r="C8" s="4"/>
      <c r="D8" s="5" t="s">
        <v>9</v>
      </c>
      <c r="E8" s="5" t="s">
        <v>10</v>
      </c>
      <c r="F8" s="4"/>
      <c r="G8" s="5" t="s">
        <v>11</v>
      </c>
      <c r="H8" s="5" t="s">
        <v>12</v>
      </c>
      <c r="I8" s="5" t="s">
        <v>13</v>
      </c>
      <c r="J8" s="4"/>
      <c r="K8" s="5" t="s">
        <v>10</v>
      </c>
      <c r="L8" s="6"/>
    </row>
    <row r="9">
      <c r="C9" s="7"/>
      <c r="D9" s="8"/>
      <c r="E9" s="8"/>
      <c r="F9" s="7"/>
      <c r="G9" s="9" t="s">
        <v>14</v>
      </c>
      <c r="H9" s="8"/>
      <c r="I9" s="8"/>
      <c r="J9" s="7"/>
      <c r="K9" s="8"/>
      <c r="L9" s="6"/>
    </row>
    <row r="10">
      <c r="C10" s="10">
        <v>1.0</v>
      </c>
      <c r="D10" s="11">
        <v>10.0</v>
      </c>
      <c r="E10" s="12">
        <v>500.0</v>
      </c>
      <c r="F10" s="13">
        <f t="shared" ref="F10:F33" si="1">E10*D10*7/1000</f>
        <v>35</v>
      </c>
      <c r="G10" s="11">
        <v>288.0</v>
      </c>
      <c r="H10" s="14">
        <f t="shared" ref="H10:H33" si="2">G10*F10</f>
        <v>10080</v>
      </c>
      <c r="I10" s="15">
        <v>0.005</v>
      </c>
      <c r="J10" s="13">
        <f t="shared" ref="J10:J33" si="3">E10*I10</f>
        <v>2.5</v>
      </c>
      <c r="K10" s="13">
        <f t="shared" ref="K10:K33" si="4">E10-J10</f>
        <v>497.5</v>
      </c>
      <c r="L10" s="6"/>
    </row>
    <row r="11">
      <c r="C11" s="10">
        <v>2.0</v>
      </c>
      <c r="D11" s="11">
        <v>15.0</v>
      </c>
      <c r="E11" s="13">
        <f t="shared" ref="E11:E33" si="5">K10</f>
        <v>497.5</v>
      </c>
      <c r="F11" s="13">
        <f t="shared" si="1"/>
        <v>52.2375</v>
      </c>
      <c r="G11" s="11">
        <v>288.0</v>
      </c>
      <c r="H11" s="14">
        <f t="shared" si="2"/>
        <v>15044.4</v>
      </c>
      <c r="I11" s="15">
        <v>0.005</v>
      </c>
      <c r="J11" s="13">
        <f t="shared" si="3"/>
        <v>2.4875</v>
      </c>
      <c r="K11" s="13">
        <f t="shared" si="4"/>
        <v>495.0125</v>
      </c>
      <c r="L11" s="6"/>
    </row>
    <row r="12">
      <c r="C12" s="10">
        <v>3.0</v>
      </c>
      <c r="D12" s="11">
        <v>20.0</v>
      </c>
      <c r="E12" s="13">
        <f t="shared" si="5"/>
        <v>495.0125</v>
      </c>
      <c r="F12" s="13">
        <f t="shared" si="1"/>
        <v>69.30175</v>
      </c>
      <c r="G12" s="11">
        <v>288.0</v>
      </c>
      <c r="H12" s="14">
        <f t="shared" si="2"/>
        <v>19958.904</v>
      </c>
      <c r="I12" s="15">
        <v>0.005</v>
      </c>
      <c r="J12" s="13">
        <f t="shared" si="3"/>
        <v>2.4750625</v>
      </c>
      <c r="K12" s="13">
        <f t="shared" si="4"/>
        <v>492.5374375</v>
      </c>
      <c r="L12" s="6"/>
    </row>
    <row r="13">
      <c r="C13" s="10">
        <v>4.0</v>
      </c>
      <c r="D13" s="11">
        <v>25.0</v>
      </c>
      <c r="E13" s="13">
        <f t="shared" si="5"/>
        <v>492.5374375</v>
      </c>
      <c r="F13" s="13">
        <f t="shared" si="1"/>
        <v>86.19405156</v>
      </c>
      <c r="G13" s="11">
        <v>288.0</v>
      </c>
      <c r="H13" s="14">
        <f t="shared" si="2"/>
        <v>24823.88685</v>
      </c>
      <c r="I13" s="15">
        <v>0.005</v>
      </c>
      <c r="J13" s="13">
        <f t="shared" si="3"/>
        <v>2.462687188</v>
      </c>
      <c r="K13" s="16">
        <f t="shared" si="4"/>
        <v>490.0747503</v>
      </c>
      <c r="L13" s="17">
        <f>SUM(H10:H13)</f>
        <v>69907.19085</v>
      </c>
    </row>
    <row r="14">
      <c r="C14" s="10">
        <v>5.0</v>
      </c>
      <c r="D14" s="11">
        <v>30.0</v>
      </c>
      <c r="E14" s="13">
        <f t="shared" si="5"/>
        <v>490.0747503</v>
      </c>
      <c r="F14" s="13">
        <f t="shared" si="1"/>
        <v>102.9156976</v>
      </c>
      <c r="G14" s="11">
        <v>288.0</v>
      </c>
      <c r="H14" s="14">
        <f t="shared" si="2"/>
        <v>29639.7209</v>
      </c>
      <c r="I14" s="15">
        <v>0.005</v>
      </c>
      <c r="J14" s="13">
        <f t="shared" si="3"/>
        <v>2.450373752</v>
      </c>
      <c r="K14" s="13">
        <f t="shared" si="4"/>
        <v>487.6243766</v>
      </c>
      <c r="L14" s="6"/>
    </row>
    <row r="15">
      <c r="C15" s="10">
        <v>6.0</v>
      </c>
      <c r="D15" s="11">
        <v>35.0</v>
      </c>
      <c r="E15" s="13">
        <f t="shared" si="5"/>
        <v>487.6243766</v>
      </c>
      <c r="F15" s="13">
        <f t="shared" si="1"/>
        <v>119.4679723</v>
      </c>
      <c r="G15" s="11">
        <v>288.0</v>
      </c>
      <c r="H15" s="14">
        <f t="shared" si="2"/>
        <v>34406.77601</v>
      </c>
      <c r="I15" s="15">
        <v>0.005</v>
      </c>
      <c r="J15" s="13">
        <f t="shared" si="3"/>
        <v>2.438121883</v>
      </c>
      <c r="K15" s="13">
        <f t="shared" si="4"/>
        <v>485.1862547</v>
      </c>
      <c r="L15" s="6"/>
    </row>
    <row r="16">
      <c r="C16" s="10">
        <v>7.0</v>
      </c>
      <c r="D16" s="11">
        <v>40.0</v>
      </c>
      <c r="E16" s="13">
        <f t="shared" si="5"/>
        <v>485.1862547</v>
      </c>
      <c r="F16" s="13">
        <f t="shared" si="1"/>
        <v>135.8521513</v>
      </c>
      <c r="G16" s="11">
        <v>288.0</v>
      </c>
      <c r="H16" s="14">
        <f t="shared" si="2"/>
        <v>39125.41958</v>
      </c>
      <c r="I16" s="15">
        <v>0.005</v>
      </c>
      <c r="J16" s="13">
        <f t="shared" si="3"/>
        <v>2.425931273</v>
      </c>
      <c r="K16" s="13">
        <f t="shared" si="4"/>
        <v>482.7603234</v>
      </c>
      <c r="L16" s="6"/>
    </row>
    <row r="17">
      <c r="C17" s="10">
        <v>8.0</v>
      </c>
      <c r="D17" s="11">
        <v>45.0</v>
      </c>
      <c r="E17" s="13">
        <f t="shared" si="5"/>
        <v>482.7603234</v>
      </c>
      <c r="F17" s="13">
        <f t="shared" si="1"/>
        <v>152.0695019</v>
      </c>
      <c r="G17" s="11">
        <v>288.0</v>
      </c>
      <c r="H17" s="14">
        <f t="shared" si="2"/>
        <v>43796.01654</v>
      </c>
      <c r="I17" s="15">
        <v>0.005</v>
      </c>
      <c r="J17" s="13">
        <f t="shared" si="3"/>
        <v>2.413801617</v>
      </c>
      <c r="K17" s="13">
        <f t="shared" si="4"/>
        <v>480.3465218</v>
      </c>
      <c r="L17" s="18">
        <f>SUM(H10:H17)</f>
        <v>216875.1239</v>
      </c>
    </row>
    <row r="18">
      <c r="C18" s="10">
        <v>9.0</v>
      </c>
      <c r="D18" s="11">
        <v>50.0</v>
      </c>
      <c r="E18" s="13">
        <f t="shared" si="5"/>
        <v>480.3465218</v>
      </c>
      <c r="F18" s="13">
        <f t="shared" si="1"/>
        <v>168.1212826</v>
      </c>
      <c r="G18" s="11">
        <v>260.0</v>
      </c>
      <c r="H18" s="14">
        <f t="shared" si="2"/>
        <v>43711.53348</v>
      </c>
      <c r="I18" s="15">
        <v>0.001</v>
      </c>
      <c r="J18" s="13">
        <f t="shared" si="3"/>
        <v>0.4803465218</v>
      </c>
      <c r="K18" s="13">
        <f t="shared" si="4"/>
        <v>479.8661753</v>
      </c>
      <c r="L18" s="6"/>
    </row>
    <row r="19">
      <c r="C19" s="10">
        <v>10.0</v>
      </c>
      <c r="D19" s="11">
        <v>55.0</v>
      </c>
      <c r="E19" s="13">
        <f t="shared" si="5"/>
        <v>479.8661753</v>
      </c>
      <c r="F19" s="13">
        <f t="shared" si="1"/>
        <v>184.7484775</v>
      </c>
      <c r="G19" s="11">
        <v>260.0</v>
      </c>
      <c r="H19" s="14">
        <f t="shared" si="2"/>
        <v>48034.60414</v>
      </c>
      <c r="I19" s="15">
        <v>0.001</v>
      </c>
      <c r="J19" s="13">
        <f t="shared" si="3"/>
        <v>0.4798661753</v>
      </c>
      <c r="K19" s="13">
        <f t="shared" si="4"/>
        <v>479.3863091</v>
      </c>
      <c r="L19" s="6"/>
    </row>
    <row r="20">
      <c r="C20" s="10">
        <v>11.0</v>
      </c>
      <c r="D20" s="11">
        <v>60.0</v>
      </c>
      <c r="E20" s="13">
        <f t="shared" si="5"/>
        <v>479.3863091</v>
      </c>
      <c r="F20" s="13">
        <f t="shared" si="1"/>
        <v>201.3422498</v>
      </c>
      <c r="G20" s="11">
        <v>260.0</v>
      </c>
      <c r="H20" s="14">
        <f t="shared" si="2"/>
        <v>52348.98495</v>
      </c>
      <c r="I20" s="15">
        <v>0.001</v>
      </c>
      <c r="J20" s="13">
        <f t="shared" si="3"/>
        <v>0.4793863091</v>
      </c>
      <c r="K20" s="13">
        <f t="shared" si="4"/>
        <v>478.9069228</v>
      </c>
      <c r="L20" s="6"/>
      <c r="P20" s="19">
        <v>217.9026498656162</v>
      </c>
    </row>
    <row r="21" ht="15.75" customHeight="1">
      <c r="C21" s="10">
        <v>12.0</v>
      </c>
      <c r="D21" s="11">
        <v>65.0</v>
      </c>
      <c r="E21" s="13">
        <f t="shared" si="5"/>
        <v>478.9069228</v>
      </c>
      <c r="F21" s="13">
        <f t="shared" si="1"/>
        <v>217.9026499</v>
      </c>
      <c r="G21" s="11">
        <v>260.0</v>
      </c>
      <c r="H21" s="14">
        <f t="shared" si="2"/>
        <v>56654.68897</v>
      </c>
      <c r="I21" s="15">
        <v>0.001</v>
      </c>
      <c r="J21" s="13">
        <f t="shared" si="3"/>
        <v>0.4789069228</v>
      </c>
      <c r="K21" s="13">
        <f t="shared" si="4"/>
        <v>478.4280159</v>
      </c>
      <c r="L21" s="18">
        <f>SUM(H10:H21)</f>
        <v>417624.9354</v>
      </c>
      <c r="P21" s="19">
        <v>234.42972777080834</v>
      </c>
    </row>
    <row r="22" ht="15.75" customHeight="1">
      <c r="C22" s="10">
        <v>13.0</v>
      </c>
      <c r="D22" s="11">
        <v>70.0</v>
      </c>
      <c r="E22" s="13">
        <f t="shared" si="5"/>
        <v>478.4280159</v>
      </c>
      <c r="F22" s="13">
        <f t="shared" si="1"/>
        <v>234.4297278</v>
      </c>
      <c r="G22" s="11">
        <v>260.0</v>
      </c>
      <c r="H22" s="14">
        <f t="shared" si="2"/>
        <v>60951.72922</v>
      </c>
      <c r="I22" s="15">
        <v>0.001</v>
      </c>
      <c r="J22" s="13">
        <f t="shared" si="3"/>
        <v>0.4784280159</v>
      </c>
      <c r="K22" s="13">
        <f t="shared" si="4"/>
        <v>477.9495878</v>
      </c>
      <c r="L22" s="6"/>
      <c r="P22" s="19">
        <v>250.92353361754016</v>
      </c>
      <c r="U22" s="19">
        <v>35.0</v>
      </c>
    </row>
    <row r="23" ht="15.75" customHeight="1">
      <c r="C23" s="10">
        <v>14.0</v>
      </c>
      <c r="D23" s="11">
        <v>75.0</v>
      </c>
      <c r="E23" s="13">
        <f t="shared" si="5"/>
        <v>477.9495878</v>
      </c>
      <c r="F23" s="13">
        <f t="shared" si="1"/>
        <v>250.9235336</v>
      </c>
      <c r="G23" s="11">
        <v>260.0</v>
      </c>
      <c r="H23" s="14">
        <f t="shared" si="2"/>
        <v>65240.11874</v>
      </c>
      <c r="I23" s="15">
        <v>0.001</v>
      </c>
      <c r="J23" s="13">
        <f t="shared" si="3"/>
        <v>0.4779495878</v>
      </c>
      <c r="K23" s="13">
        <f t="shared" si="4"/>
        <v>477.4716383</v>
      </c>
      <c r="L23" s="6"/>
      <c r="P23" s="19">
        <v>267.3841174228508</v>
      </c>
      <c r="U23" s="19">
        <v>52.2375</v>
      </c>
    </row>
    <row r="24" ht="15.75" customHeight="1">
      <c r="C24" s="10">
        <v>15.0</v>
      </c>
      <c r="D24" s="11">
        <v>80.0</v>
      </c>
      <c r="E24" s="13">
        <f t="shared" si="5"/>
        <v>477.4716383</v>
      </c>
      <c r="F24" s="13">
        <f t="shared" si="1"/>
        <v>267.3841174</v>
      </c>
      <c r="G24" s="11">
        <v>260.0</v>
      </c>
      <c r="H24" s="14">
        <f t="shared" si="2"/>
        <v>69519.87053</v>
      </c>
      <c r="I24" s="15">
        <v>0.001</v>
      </c>
      <c r="J24" s="13">
        <f t="shared" si="3"/>
        <v>0.4774716383</v>
      </c>
      <c r="K24" s="13">
        <f t="shared" si="4"/>
        <v>476.9941666</v>
      </c>
      <c r="L24" s="6"/>
      <c r="P24" s="19">
        <v>283.8115291370172</v>
      </c>
      <c r="U24" s="19">
        <v>69.30175</v>
      </c>
    </row>
    <row r="25" ht="15.75" customHeight="1">
      <c r="C25" s="10">
        <v>16.0</v>
      </c>
      <c r="D25" s="11">
        <v>85.0</v>
      </c>
      <c r="E25" s="13">
        <f t="shared" si="5"/>
        <v>476.9941666</v>
      </c>
      <c r="F25" s="13">
        <f t="shared" si="1"/>
        <v>283.8115291</v>
      </c>
      <c r="G25" s="11">
        <v>260.0</v>
      </c>
      <c r="H25" s="14">
        <f t="shared" si="2"/>
        <v>73790.99758</v>
      </c>
      <c r="I25" s="15">
        <v>0.001</v>
      </c>
      <c r="J25" s="13">
        <f t="shared" si="3"/>
        <v>0.4769941666</v>
      </c>
      <c r="K25" s="13">
        <f t="shared" si="4"/>
        <v>476.5171725</v>
      </c>
      <c r="L25" s="20">
        <f>SUM(H10:H25)</f>
        <v>687127.6515</v>
      </c>
      <c r="P25" s="19">
        <v>300.2058186436378</v>
      </c>
      <c r="U25" s="19">
        <v>86.1940515625</v>
      </c>
    </row>
    <row r="26" ht="15.75" customHeight="1">
      <c r="C26" s="10">
        <v>17.0</v>
      </c>
      <c r="D26" s="11">
        <v>90.0</v>
      </c>
      <c r="E26" s="13">
        <f t="shared" si="5"/>
        <v>476.5171725</v>
      </c>
      <c r="F26" s="13">
        <f t="shared" si="1"/>
        <v>300.2058186</v>
      </c>
      <c r="G26" s="11">
        <v>260.0</v>
      </c>
      <c r="H26" s="14">
        <f t="shared" si="2"/>
        <v>78053.51285</v>
      </c>
      <c r="I26" s="15">
        <v>0.001</v>
      </c>
      <c r="J26" s="13">
        <f t="shared" si="3"/>
        <v>0.4765171725</v>
      </c>
      <c r="K26" s="13">
        <f t="shared" si="4"/>
        <v>476.0406553</v>
      </c>
      <c r="P26" s="19">
        <v>316.5670357597161</v>
      </c>
      <c r="U26" s="19">
        <v>102.91569756562498</v>
      </c>
    </row>
    <row r="27" ht="15.75" customHeight="1">
      <c r="C27" s="10">
        <v>18.0</v>
      </c>
      <c r="D27" s="11">
        <v>95.0</v>
      </c>
      <c r="E27" s="13">
        <f t="shared" si="5"/>
        <v>476.0406553</v>
      </c>
      <c r="F27" s="13">
        <f t="shared" si="1"/>
        <v>316.5670358</v>
      </c>
      <c r="G27" s="11">
        <v>260.0</v>
      </c>
      <c r="H27" s="14">
        <f t="shared" si="2"/>
        <v>82307.4293</v>
      </c>
      <c r="I27" s="15">
        <v>0.001</v>
      </c>
      <c r="J27" s="13">
        <f t="shared" si="3"/>
        <v>0.4760406553</v>
      </c>
      <c r="K27" s="13">
        <f t="shared" si="4"/>
        <v>475.5646146</v>
      </c>
      <c r="P27" s="19">
        <f>SUM(P20:P26)</f>
        <v>1871.224412</v>
      </c>
      <c r="U27" s="19">
        <v>119.4679722574297</v>
      </c>
    </row>
    <row r="28" ht="15.75" customHeight="1">
      <c r="C28" s="10">
        <v>19.0</v>
      </c>
      <c r="D28" s="11">
        <v>100.0</v>
      </c>
      <c r="E28" s="13">
        <f t="shared" si="5"/>
        <v>475.5646146</v>
      </c>
      <c r="F28" s="13">
        <f t="shared" si="1"/>
        <v>332.8952302</v>
      </c>
      <c r="G28" s="11">
        <v>290.0</v>
      </c>
      <c r="H28" s="14">
        <f t="shared" si="2"/>
        <v>96539.61677</v>
      </c>
      <c r="I28" s="15">
        <v>0.001</v>
      </c>
      <c r="J28" s="13">
        <f t="shared" si="3"/>
        <v>0.4755646146</v>
      </c>
      <c r="K28" s="13">
        <f t="shared" si="4"/>
        <v>475.08905</v>
      </c>
      <c r="U28" s="19">
        <v>135.8521513098772</v>
      </c>
    </row>
    <row r="29" ht="15.75" customHeight="1">
      <c r="C29" s="10">
        <v>20.0</v>
      </c>
      <c r="D29" s="11">
        <v>105.0</v>
      </c>
      <c r="E29" s="13">
        <f t="shared" si="5"/>
        <v>475.08905</v>
      </c>
      <c r="F29" s="13">
        <f t="shared" si="1"/>
        <v>349.1904518</v>
      </c>
      <c r="G29" s="11">
        <v>290.0</v>
      </c>
      <c r="H29" s="14">
        <f t="shared" si="2"/>
        <v>101265.231</v>
      </c>
      <c r="I29" s="15">
        <v>0.001</v>
      </c>
      <c r="J29" s="13">
        <f t="shared" si="3"/>
        <v>0.47508905</v>
      </c>
      <c r="K29" s="13">
        <f t="shared" si="4"/>
        <v>474.613961</v>
      </c>
      <c r="R29" s="11">
        <v>105.0</v>
      </c>
      <c r="U29" s="19">
        <v>152.06950187249376</v>
      </c>
    </row>
    <row r="30" ht="15.75" customHeight="1">
      <c r="C30" s="10">
        <v>21.0</v>
      </c>
      <c r="D30" s="11">
        <v>110.0</v>
      </c>
      <c r="E30" s="13">
        <f t="shared" si="5"/>
        <v>474.613961</v>
      </c>
      <c r="F30" s="13">
        <f t="shared" si="1"/>
        <v>365.4527499</v>
      </c>
      <c r="G30" s="11">
        <v>290.0</v>
      </c>
      <c r="H30" s="14">
        <f t="shared" si="2"/>
        <v>105981.2975</v>
      </c>
      <c r="I30" s="15">
        <v>0.001</v>
      </c>
      <c r="J30" s="13">
        <f t="shared" si="3"/>
        <v>0.474613961</v>
      </c>
      <c r="K30" s="13">
        <f t="shared" si="4"/>
        <v>474.139347</v>
      </c>
      <c r="R30" s="11">
        <v>110.0</v>
      </c>
      <c r="U30" s="19">
        <v>168.12128262570144</v>
      </c>
    </row>
    <row r="31" ht="15.75" customHeight="1">
      <c r="C31" s="10">
        <v>22.0</v>
      </c>
      <c r="D31" s="11">
        <v>115.0</v>
      </c>
      <c r="E31" s="13">
        <f t="shared" si="5"/>
        <v>474.139347</v>
      </c>
      <c r="F31" s="13">
        <f t="shared" si="1"/>
        <v>381.6821743</v>
      </c>
      <c r="G31" s="11">
        <v>290.0</v>
      </c>
      <c r="H31" s="14">
        <f t="shared" si="2"/>
        <v>110687.8306</v>
      </c>
      <c r="I31" s="15">
        <v>0.001</v>
      </c>
      <c r="J31" s="13">
        <f t="shared" si="3"/>
        <v>0.474139347</v>
      </c>
      <c r="K31" s="13">
        <f t="shared" si="4"/>
        <v>473.6652076</v>
      </c>
      <c r="R31" s="11">
        <v>115.0</v>
      </c>
      <c r="U31" s="19">
        <v>184.74847747738332</v>
      </c>
    </row>
    <row r="32" ht="15.75" customHeight="1">
      <c r="C32" s="10">
        <v>23.0</v>
      </c>
      <c r="D32" s="11">
        <v>115.0</v>
      </c>
      <c r="E32" s="13">
        <f t="shared" si="5"/>
        <v>473.6652076</v>
      </c>
      <c r="F32" s="13">
        <f t="shared" si="1"/>
        <v>381.3004922</v>
      </c>
      <c r="G32" s="11">
        <v>290.0</v>
      </c>
      <c r="H32" s="14">
        <f t="shared" si="2"/>
        <v>110577.1427</v>
      </c>
      <c r="I32" s="15">
        <v>0.001</v>
      </c>
      <c r="J32" s="13">
        <f t="shared" si="3"/>
        <v>0.4736652076</v>
      </c>
      <c r="K32" s="13">
        <f t="shared" si="4"/>
        <v>473.1915424</v>
      </c>
      <c r="R32" s="11">
        <v>115.0</v>
      </c>
      <c r="U32" s="19">
        <v>201.3422498180792</v>
      </c>
    </row>
    <row r="33" ht="15.75" customHeight="1">
      <c r="C33" s="10">
        <v>24.0</v>
      </c>
      <c r="D33" s="11">
        <v>115.0</v>
      </c>
      <c r="E33" s="13">
        <f t="shared" si="5"/>
        <v>473.1915424</v>
      </c>
      <c r="F33" s="13">
        <f t="shared" si="1"/>
        <v>380.9191917</v>
      </c>
      <c r="G33" s="11">
        <v>290.0</v>
      </c>
      <c r="H33" s="14">
        <f t="shared" si="2"/>
        <v>110466.5656</v>
      </c>
      <c r="I33" s="15">
        <v>0.001</v>
      </c>
      <c r="J33" s="13">
        <f t="shared" si="3"/>
        <v>0.4731915424</v>
      </c>
      <c r="K33" s="13">
        <f t="shared" si="4"/>
        <v>472.7183509</v>
      </c>
      <c r="R33" s="11">
        <v>115.0</v>
      </c>
      <c r="U33" s="19">
        <v>217.9026498656162</v>
      </c>
    </row>
    <row r="34" ht="15.75" customHeight="1">
      <c r="C34" s="21" t="s">
        <v>15</v>
      </c>
      <c r="D34" s="22"/>
      <c r="E34" s="23"/>
      <c r="F34" s="24">
        <f>SUM(F10:F33)</f>
        <v>5369.915337</v>
      </c>
      <c r="G34" s="25"/>
      <c r="H34" s="26">
        <f>SUM(H10:H33)</f>
        <v>1483006.278</v>
      </c>
      <c r="I34" s="11"/>
      <c r="J34" s="27">
        <f>SUM(J10:J33)</f>
        <v>27.2816491</v>
      </c>
      <c r="K34" s="11"/>
      <c r="R34" s="28">
        <f>SUM(R29:R33)</f>
        <v>560</v>
      </c>
      <c r="U34" s="19">
        <v>234.42972777080834</v>
      </c>
    </row>
    <row r="35" ht="15.75" customHeight="1">
      <c r="U35" s="19">
        <v>250.92353361754016</v>
      </c>
    </row>
    <row r="36" ht="15.75" customHeight="1">
      <c r="U36" s="19">
        <v>267.3841174228508</v>
      </c>
    </row>
    <row r="37" ht="15.75" customHeight="1">
      <c r="U37" s="19">
        <v>283.8115291370172</v>
      </c>
    </row>
    <row r="38" ht="15.75" customHeight="1">
      <c r="U38" s="19">
        <v>300.2058186436378</v>
      </c>
    </row>
    <row r="39" ht="15.75" customHeight="1">
      <c r="U39" s="19">
        <v>316.5670357597161</v>
      </c>
    </row>
    <row r="40" ht="15.75" customHeight="1">
      <c r="U40" s="19">
        <v>332.89523023574355</v>
      </c>
    </row>
    <row r="41" ht="15.75" customHeight="1">
      <c r="U41" s="19">
        <v>349.1904517557832</v>
      </c>
    </row>
    <row r="42" ht="15.75" customHeight="1">
      <c r="U42" s="19">
        <f>SUM(U22:U41)</f>
        <v>3860.560729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7:C9"/>
    <mergeCell ref="F7:F9"/>
    <mergeCell ref="J7:J9"/>
    <mergeCell ref="C34:E34"/>
  </mergeCells>
  <printOptions/>
  <pageMargins bottom="0.75" footer="0.0" header="0.0" left="0.7" right="0.7" top="0.75"/>
  <pageSetup paperSize="9" orientation="portrait"/>
  <drawing r:id="rId1"/>
</worksheet>
</file>